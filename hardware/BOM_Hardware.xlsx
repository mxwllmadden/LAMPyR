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N:\Maxwell\LAMPyR\hardware\"/>
    </mc:Choice>
  </mc:AlternateContent>
  <xr:revisionPtr revIDLastSave="0" documentId="13_ncr:1_{CA5217E8-9532-4C09-A216-879E8A62E494}" xr6:coauthVersionLast="47" xr6:coauthVersionMax="47" xr10:uidLastSave="{00000000-0000-0000-0000-000000000000}"/>
  <bookViews>
    <workbookView xWindow="3975" yWindow="2265" windowWidth="21600" windowHeight="11295" xr2:uid="{00000000-000D-0000-FFFF-FFFF00000000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I36" i="1"/>
  <c r="G32" i="1"/>
  <c r="I32" i="1" s="1"/>
  <c r="G31" i="1"/>
  <c r="I31" i="1" s="1"/>
  <c r="I37" i="1"/>
  <c r="I19" i="1"/>
  <c r="I22" i="1"/>
  <c r="I23" i="1"/>
  <c r="I24" i="1"/>
  <c r="I25" i="1"/>
  <c r="I43" i="1"/>
  <c r="I49" i="1"/>
  <c r="I46" i="1"/>
  <c r="I28" i="1"/>
  <c r="I48" i="1"/>
  <c r="G21" i="1"/>
  <c r="I21" i="1" s="1"/>
  <c r="G20" i="1"/>
  <c r="I20" i="1" s="1"/>
  <c r="G4" i="1"/>
  <c r="I4" i="1" s="1"/>
  <c r="I73" i="1"/>
  <c r="I70" i="1"/>
  <c r="I71" i="1"/>
  <c r="G14" i="1"/>
  <c r="I14" i="1" s="1"/>
  <c r="I13" i="1"/>
  <c r="G11" i="1"/>
  <c r="I11" i="1" s="1"/>
  <c r="G12" i="1"/>
  <c r="I12" i="1" s="1"/>
  <c r="I39" i="1"/>
  <c r="G34" i="1"/>
  <c r="I34" i="1" s="1"/>
  <c r="G38" i="1"/>
  <c r="I38" i="1" s="1"/>
  <c r="G33" i="1"/>
  <c r="I33" i="1" s="1"/>
  <c r="G30" i="1"/>
  <c r="I30" i="1" s="1"/>
  <c r="G35" i="1"/>
  <c r="I35" i="1" s="1"/>
  <c r="G40" i="1"/>
  <c r="I40" i="1" s="1"/>
  <c r="I41" i="1"/>
  <c r="I42" i="1"/>
  <c r="I79" i="1"/>
  <c r="G69" i="1"/>
  <c r="I69" i="1" s="1"/>
  <c r="I68" i="1"/>
  <c r="I75" i="1" s="1"/>
  <c r="I74" i="1"/>
  <c r="I72" i="1"/>
  <c r="G56" i="1"/>
  <c r="I56" i="1" s="1"/>
  <c r="I64" i="1" s="1"/>
  <c r="I10" i="1"/>
  <c r="G29" i="1"/>
  <c r="I29" i="1" s="1"/>
  <c r="G45" i="1"/>
  <c r="I45" i="1" s="1"/>
  <c r="G50" i="1"/>
  <c r="I50" i="1" s="1"/>
  <c r="G47" i="1"/>
  <c r="I47" i="1" s="1"/>
  <c r="G44" i="1"/>
  <c r="I44" i="1" s="1"/>
  <c r="G26" i="1"/>
  <c r="I26" i="1" s="1"/>
  <c r="G27" i="1"/>
  <c r="I27" i="1" s="1"/>
  <c r="I8" i="1"/>
  <c r="I9" i="1"/>
  <c r="I5" i="1"/>
  <c r="I7" i="1"/>
  <c r="I6" i="1"/>
  <c r="I3" i="1"/>
  <c r="I52" i="1" l="1"/>
  <c r="I81" i="1" s="1"/>
  <c r="I82" i="1" s="1"/>
  <c r="I15" i="1"/>
</calcChain>
</file>

<file path=xl/sharedStrings.xml><?xml version="1.0" encoding="utf-8"?>
<sst xmlns="http://schemas.openxmlformats.org/spreadsheetml/2006/main" count="353" uniqueCount="223">
  <si>
    <t>Item</t>
  </si>
  <si>
    <t>Vendor</t>
  </si>
  <si>
    <t>Catalog #</t>
  </si>
  <si>
    <t>Price</t>
  </si>
  <si>
    <t>Number</t>
  </si>
  <si>
    <t>Sound Attenuation Box</t>
  </si>
  <si>
    <t>3/4 in. x 4 ft. x 8 ft. MDF Panel</t>
  </si>
  <si>
    <t>Notes</t>
  </si>
  <si>
    <t>Home Depot</t>
  </si>
  <si>
    <t>Link</t>
  </si>
  <si>
    <t>https://www.homedepot.com/p/ULTRASTOCK-3-4-in-x-4-ft-x-8-ft-MDF-Panel-D11612490970000/304325742</t>
  </si>
  <si>
    <t>Each panel makes 2 boxes</t>
  </si>
  <si>
    <t>2-Pack Nickel 1 1/4 inch 32mm Overlay Face Frame Self Close Concealed Cabinet Hinges</t>
  </si>
  <si>
    <t>Cabinet hinges</t>
  </si>
  <si>
    <t>Unit</t>
  </si>
  <si>
    <t>Panel</t>
  </si>
  <si>
    <t>Pack (4)</t>
  </si>
  <si>
    <t>Pack (2)</t>
  </si>
  <si>
    <t>https://www.homedepot.com/p/Amerock-2-Pack-Nickel-1-1-4-inch-32mm-Overlay-Face-Frame-Self-Close-Concealed-Cabinet-Hinges-BP9236SLFF/332609806</t>
  </si>
  <si>
    <t>BP9236SLFF</t>
  </si>
  <si>
    <t>(4-Pack) Solid Bar 3 in. (76 mm) Brushed Stainless Steel Modern Cabinet Handle Drawer Pulls</t>
  </si>
  <si>
    <t>Cabinet Handles</t>
  </si>
  <si>
    <t>https://www.homedepot.com/p/Liberty-4-Pack-Solid-Bar-3-in-76-mm-Brushed-Stainless-Steel-Modern-Cabinet-Handle-Drawer-Pulls-P13456L-SS-U1/202824457?MERCH=REC-_-reorder_typeahead_post-_-n/a-_-0-_-n/a-_-n/a-_-n/a-_-n/a-_-n/a</t>
  </si>
  <si>
    <t>#8 x 2 in. Coarse Zinc-Plated Phillips Bugle Head Wood Screws (50 per Pack)</t>
  </si>
  <si>
    <t>Pack (50)</t>
  </si>
  <si>
    <t>Screws</t>
  </si>
  <si>
    <t>https://www.homedepot.com/p/Everbilt-8-x-2-in-Coarse-Zinc-Plated-Phillips-Bugle-Head-Wood-Screws-50-per-Pack-802692/204283333?MERCH=REC-_-reorder_typeahead_pre-_-n/a-_-2-_-n/a-_-n/a-_-n/a-_-n/a-_-n/a</t>
  </si>
  <si>
    <t>18 fl. oz. Wood Glue</t>
  </si>
  <si>
    <t>Wood Glue, sufficient for several boxes</t>
  </si>
  <si>
    <t>18 oz</t>
  </si>
  <si>
    <t>1 Gal. WaterTite LX Low VOC Mold and Mildew-Proof White Water Based Waterproofing Paint</t>
  </si>
  <si>
    <t>Water resistant paint</t>
  </si>
  <si>
    <t>1 Gal</t>
  </si>
  <si>
    <t>https://www.homedepot.com/p/Gorilla-18-fl-oz-Wood-Glue-62050/100662003</t>
  </si>
  <si>
    <t>https://www.homedepot.com/p/Zinsser-1-Gal-WaterTite-LX-Low-VOC-Mold-and-Mildew-Proof-White-Water-Based-Waterproofing-Paint-270267/206596437?MERCH=REC-_-reorder_typeahead_pre-_-n/a-_-5-_-n/a-_-n/a-_-n/a-_-n/a-_-n/a</t>
  </si>
  <si>
    <t>Mold and Mildew 1 Gal. White Water Based Interior and Exterior Primer, Sealer and Stain-Blocker</t>
  </si>
  <si>
    <t>Water resistant primer (2 coats)</t>
  </si>
  <si>
    <t>L204601</t>
  </si>
  <si>
    <t>Price per Rig</t>
  </si>
  <si>
    <t>Aluminum Breadboard 8" x 10" x 1/2", 1/4"-20 Taps</t>
  </si>
  <si>
    <t>Thorlabs</t>
  </si>
  <si>
    <t>https://www.thorlabs.com/item/MB810</t>
  </si>
  <si>
    <t>Right-Angle Clamp for Ø1/2" Posts, 3/16" Hex, 5 Pack</t>
  </si>
  <si>
    <t>RA90-P5</t>
  </si>
  <si>
    <t>pack (5)</t>
  </si>
  <si>
    <t>https://www.thorlabs.com/item/RA90-P5</t>
  </si>
  <si>
    <t>https://www.thorlabs.com/item/PH2-P5</t>
  </si>
  <si>
    <t>PH2-P5</t>
  </si>
  <si>
    <t>https://www.thorlabs.com/item/TR4-P5</t>
  </si>
  <si>
    <t>TR4-P5</t>
  </si>
  <si>
    <t>Ø1/2" Optical Post, SS, 8-32 Setscrew, 1/4"-20 Tap, L = 4", 5 Pack</t>
  </si>
  <si>
    <t>Ø1/2" Post Holder, Spring-Loaded Hex-Locking Thumbscrew, L = 2", 5 Pack</t>
  </si>
  <si>
    <t>PH1-P5</t>
  </si>
  <si>
    <t>https://www.thorlabs.com/item/PH1-P5</t>
  </si>
  <si>
    <t>Ø1/2" Optical Post, SS, 8-32 Setscrew, 1/4"-20 Tap, L = 0.75", 5 Pack</t>
  </si>
  <si>
    <t>TR075-P5</t>
  </si>
  <si>
    <t>https://www.thorlabs.com/item/TR075-P5</t>
  </si>
  <si>
    <t>https://www.thorlabs.com/item/TR2-P5</t>
  </si>
  <si>
    <t>TR2-P5</t>
  </si>
  <si>
    <t>BA1S-P5</t>
  </si>
  <si>
    <t>MB810</t>
  </si>
  <si>
    <t>https://www.thorlabs.com/item/BA1S-P5</t>
  </si>
  <si>
    <t>Mounting Base, 1" x 2.3" x 3/8", 5 Pack</t>
  </si>
  <si>
    <t>Ø1/2" Optical Post, SS, 8-32 Setscrew, 1/4"-20 Tap, L = 2", 5 Pack</t>
  </si>
  <si>
    <t xml:space="preserve">Ordro LN-3 IR Night Vision Light for Enhancing Camera Night Shooting Visibility, 1/4 Hot Shoe Compatible DSLR/Ordro Camera, 850nm IR Light USB Rechargeable IR Photography Light (Ghost Hunting Device) </t>
  </si>
  <si>
    <t>each</t>
  </si>
  <si>
    <t>B09KGS84QN</t>
  </si>
  <si>
    <t>https://www.amazon.com/ORDRO-Camcorder-Compatible-Rechargeable-Photography/dp/B09KGS84QN</t>
  </si>
  <si>
    <t>Rotary Encoder - 1024 P/R (Quadrature)</t>
  </si>
  <si>
    <t>Sparkfun</t>
  </si>
  <si>
    <t>Amazon</t>
  </si>
  <si>
    <t>https://www.sparkfun.com/rotary-encoder-1024-p-r-quadrature.html</t>
  </si>
  <si>
    <t>COM-11102</t>
  </si>
  <si>
    <t>B0CLYB3QLV</t>
  </si>
  <si>
    <t xml:space="preserve">Technic Parts 4 pcs TYRE Dia. 62X20 &amp; Rim Dia. 43.2 X 18 | Building Blocks Tyres Compatible with Lego for Kids Boys Toy </t>
  </si>
  <si>
    <t>Clone of Lego Wheel</t>
  </si>
  <si>
    <t>pack (4)</t>
  </si>
  <si>
    <t>Behavior Rig (Off-Shelf Components)</t>
  </si>
  <si>
    <t>https://www.amazon.com/Building-Blocks-Technic-Parts-Compatible/dp/B0CLYB3QLV?crid=JI2ZEKZGA3VU&amp;dib=eyJ2IjoiMSJ9.zksr0O86K0ajSKdFnzZsYQ.pYcl2OfJkxqzAigxKOP59wCQFQvyyvPr3wBWojPsAAE&amp;dib_tag=se&amp;keywords=B0CLYB3QLV&amp;nsdOptOutParam=true&amp;qid=1783370603&amp;s=electronics&amp;sprefix=b0clyb3qlv%2Celectronics%2C107&amp;sr=1-4&amp;th=1</t>
  </si>
  <si>
    <t>B096M5DKY6</t>
  </si>
  <si>
    <t xml:space="preserve">Arducam 100fps Mono Global Shutter USB Camera, 720P OV9281 UVC Webcam Module with Low Distortion M12 Lens Without Microphones, for Computer, Laptop, Android and Raspberry Pi </t>
  </si>
  <si>
    <t>https://www.amazon.com/Arducam-Distortion-Microphones-Computer-Raspberry/dp/B096M5DKY6?crid=1HLQHJQ2ZKIV0&amp;dib=eyJ2IjoiMSJ9.3gtuF_ETTKRFsL_SrpwRJw.dce13lB3gugZRQL1whG93KCFQUaMXbC8L1bxUkbq1Y8&amp;dib_tag=se&amp;keywords=B096M5DKY6&amp;nsdOptOutParam=true&amp;qid=1783370912&amp;s=electronics&amp;sprefix=b096m5dky6%2Celectronics%2C186&amp;sr=1-2&amp;th=1</t>
  </si>
  <si>
    <t>B0C3YGJ8VH</t>
  </si>
  <si>
    <t>Adafruit</t>
  </si>
  <si>
    <t>Micro Servo - MG90D High Torque Metal Gear</t>
  </si>
  <si>
    <t>Air Compressor Isolator Pads</t>
  </si>
  <si>
    <t>Feet</t>
  </si>
  <si>
    <t>B0BXWYNYPZ</t>
  </si>
  <si>
    <t xml:space="preserve">Carlisle FoodService Products Cafe Fast Food Cafeteria Tray with Patterned Surface for Cafeterias, Fast Food, And Dining Room, Plastic, 16.31 X 12.06 X 0.7 Inches, Gray, (Pack of 24) </t>
  </si>
  <si>
    <t>Placed under rig to collect spills</t>
  </si>
  <si>
    <t>CT121623</t>
  </si>
  <si>
    <t>Pack (24)</t>
  </si>
  <si>
    <t>https://www.amazon.com/s?k=B0BXWYNYPZ&amp;i=electronics&amp;crid=259B99NYS0CJW&amp;sprefix=b0bxwynypz%2Celectronics%2C192</t>
  </si>
  <si>
    <t>https://www.amazon.com/Carlisle-CT121623-Caf%C3%A9-Standard-Cafeteria/dp/B007726OT0?crid=ZPMRMUIBQRVR&amp;dib=eyJ2IjoiMSJ9.d5-QuTqy3lh_iYskfte1kenJtlym4FpeOZOLCwwGWo0tbKx4cLnhHBXfZ2VXnaGLg0f-z8SxU8uUB5Hhtl7eog.LRmC6jUbHyWDL_yf_UZvzIHo2E0Nn9odb_TZoIAgRgE&amp;dib_tag=se&amp;keywords=CT121623&amp;qid=1783371336&amp;s=electronics&amp;sprefix=ct121623%2Celectronics%2C365&amp;sr=1-2</t>
  </si>
  <si>
    <t>https://www.adafruit.com/product/1143</t>
  </si>
  <si>
    <t>Behavior Rig (Custom Components)</t>
  </si>
  <si>
    <t>SECTION TOTAL COST (Per Rig)</t>
  </si>
  <si>
    <t>Headplate (Implant)</t>
  </si>
  <si>
    <t>eMachineShop</t>
  </si>
  <si>
    <t>File</t>
  </si>
  <si>
    <t>headplate.ems</t>
  </si>
  <si>
    <t>Headplate Holder Arm</t>
  </si>
  <si>
    <t>Quote (20)</t>
  </si>
  <si>
    <t>headplateholder_arm.ems</t>
  </si>
  <si>
    <t>Rotary Encoder/Platform</t>
  </si>
  <si>
    <t>PLA Plastic</t>
  </si>
  <si>
    <t>3DPrint (in-house)</t>
  </si>
  <si>
    <t>Servomotor Mount</t>
  </si>
  <si>
    <t>Tweeter Mount</t>
  </si>
  <si>
    <t>~$2</t>
  </si>
  <si>
    <t>Touchscreen Mount</t>
  </si>
  <si>
    <t>Computer/Electronic Control</t>
  </si>
  <si>
    <t>Dell</t>
  </si>
  <si>
    <t>210-BKXM</t>
  </si>
  <si>
    <t>Ultra Small DT: OptiPlex Micro Form Factor (7020)OptiPlex Micro Form Factor 7020</t>
  </si>
  <si>
    <t>Recommended replacement for above</t>
  </si>
  <si>
    <t>Raspberry Pi 5 - 8GB</t>
  </si>
  <si>
    <t>DEV-23551</t>
  </si>
  <si>
    <t>https://www.sparkfun.com/raspberry-pi-5-8gb.html</t>
  </si>
  <si>
    <t>https://www.dell.com/en-us/shop/desktop-computers/optiplex-micro-form-factor/spd/optiplex-7020-micro</t>
  </si>
  <si>
    <t>Arduino Uno</t>
  </si>
  <si>
    <t>https://store-usa.arduino.cc/products/arduino-uno-rev3</t>
  </si>
  <si>
    <t>1050-1024-ND</t>
  </si>
  <si>
    <t>Digikey</t>
  </si>
  <si>
    <t>JLCPCB</t>
  </si>
  <si>
    <t>Quote (20) Includes shipping</t>
  </si>
  <si>
    <t>Surgical Implant (Custom)</t>
  </si>
  <si>
    <t>GRAND TOTAL PER RIG</t>
  </si>
  <si>
    <t>Quote (1000)</t>
  </si>
  <si>
    <t>Solenoid Mount</t>
  </si>
  <si>
    <t>Blunt tip needles</t>
  </si>
  <si>
    <t xml:space="preserve">Oatey Solder 1Oz Silver Safe Flo 53061 </t>
  </si>
  <si>
    <t>B017085DUG</t>
  </si>
  <si>
    <t>1Oz</t>
  </si>
  <si>
    <t>https://www.amazon.com/Oatey-Solder-Silver-Safe-53061/dp/B017085DUG?crid=3OAV7V42QTLG4&amp;dib=eyJ2IjoiMSJ9.TFezj_ILmAgKjAb6UZIOPg.ZyEpURelrtUs-6qoTFHNqfZBoZz9nor5uwPkzCERDZA&amp;dib_tag=se&amp;keywords=B017085DUG&amp;nsdOptOutParam=true&amp;qid=1783445340&amp;sprefix=b017085dug%2Caps%2C99&amp;sr=8-1</t>
  </si>
  <si>
    <t>https://www.amazon.com/Rubyfluid-FLSRUBYFLUIDSS-RubyFluid-Stainless-Steel/dp/B007BGYQEC?crid=254LGUYKK6YG5&amp;dib=eyJ2IjoiMSJ9.-_vbTtimaiE45BeSjaWGb9TguEG1OcwsE4S90_4zx9Ei29O2Jf_wYMkQS3ad66Eue4J0Dn_-PDyPOKfR7khrJ7TC_ctQwe3a0iLcityeiapzlKeTbJZnjZYjsaDdaNrqt8JN8jZXSc6fikWudR8BkdYvBkuDSGHWXH6mX7i7GJ4080jad9PWHYPMXMrZLzMLHWxE6LEheqy0cikeDyi_4qy24f9dBfYedAir8dck-T_HGHbLhSGmDRYU_uA7V5VOqpxUFjdh-v6hHWPaIXggAUZgF3rGz8owZDkeuxl2tNs.U07OY8FRtiXJE-eTieM-DRWkV3YMpYJKSygCTHf3zh8&amp;dib_tag=se&amp;keywords=Stainless+Steel+Soldering+Flux+%E2%80%93+1+Pint+Bottle+%7C+Industrial-Grade+Acid+Flux+for+Steel%2C+Brass%2C+Nickel+%26+Hard-to-Solder+Metals+%7C+Fast+Acting%2C+Strong+Bond%2C+Made+in+USA&amp;nsdOptOutParam=true&amp;qid=1783445372&amp;sprefix=stainless+steel+soldering+flux+1+pint+bottle+industrial-grade+acid+flux+for+steel%2C+brass%2C+nickel+%26+hard-to-solder+metals+fast+acting%2C+strong+bond%2C+made+in+usa%2Caps%2C149&amp;sr=8-1</t>
  </si>
  <si>
    <t>Ruby's Stainless Steel Soldering Flux</t>
  </si>
  <si>
    <t>B007BGYQEC</t>
  </si>
  <si>
    <t>1 Pint</t>
  </si>
  <si>
    <t>McMaster Carr</t>
  </si>
  <si>
    <t>75165A246</t>
  </si>
  <si>
    <t>94639A534</t>
  </si>
  <si>
    <t>Pack (100)</t>
  </si>
  <si>
    <t>Luer Lock Fitting Plug</t>
  </si>
  <si>
    <t>51525K211</t>
  </si>
  <si>
    <t>Luer Lock Fitting Socket</t>
  </si>
  <si>
    <t>51525K121</t>
  </si>
  <si>
    <t>McMaster Car</t>
  </si>
  <si>
    <t>89965K15</t>
  </si>
  <si>
    <t>Pack (10)</t>
  </si>
  <si>
    <t>3 ft</t>
  </si>
  <si>
    <t>2-way Normally Closed Solenoid Valves</t>
  </si>
  <si>
    <t>NResearch</t>
  </si>
  <si>
    <t>161K011</t>
  </si>
  <si>
    <t>Zero Dead Volume Barb Fittings, 10-32 x 1/16, Option 2: PCTFE</t>
  </si>
  <si>
    <t>FITM328</t>
  </si>
  <si>
    <t>Soft Masterkleer PVC Tubing for Air and Water, 1/16" ID, 1/8" OD</t>
  </si>
  <si>
    <t>5233K51</t>
  </si>
  <si>
    <t>100ft</t>
  </si>
  <si>
    <t>See included "HudaHub" file and instructions for ordering</t>
  </si>
  <si>
    <t>Custom</t>
  </si>
  <si>
    <t>Custom PCB shield</t>
  </si>
  <si>
    <t>White Nylon Spacers</t>
  </si>
  <si>
    <t xml:space="preserve">24 Pack-12 x 12 x 2 Inches Pyramid Designed Acoustic Foam Panels, Sound Proof Foam Panels Black, High Density and Fire Resistant Acoustic Panels, Sound Panels, Studio Foam for Wall and Ceiling </t>
  </si>
  <si>
    <t>B08QN6B2FD</t>
  </si>
  <si>
    <t>For sound attentuation</t>
  </si>
  <si>
    <t>Pack (12)</t>
  </si>
  <si>
    <t>https://www.amazon.com/Thick-Pyramid-Acoustic-Sound-Panels/dp/B08QN6B2FD?crid=278PCHRVENR4I&amp;dib=eyJ2IjoiMSJ9.75TEqaBXNGp5zPICFXG_uw.1W0LtdmI2tolMiVwCzktY_K7-G059LY9lLaXO3wySfs&amp;dib_tag=se&amp;keywords=B08QN6B2FD&amp;nsdOptOutParam=true&amp;qid=1785529470&amp;sprefix=b08qn6b2fd%2Caps%2C137&amp;sr=8-6&amp;th=1</t>
  </si>
  <si>
    <t xml:space="preserve">Antrader Stainless Steel Heavy Duty Closet Rod Holder,4Pcs Closet Rod Flange Flange Rod Holder Closet Pole Shower Curtain Rod Pole End Supports Sockets Flange for Diameter 2 inch (51mm) Steel Pipe </t>
  </si>
  <si>
    <t>https://www.amazon.com/Antrader-Stainless-Curtain-Supports-Diameter/dp/B0CX15W87M?crid=31R0U3T7VMLES&amp;dib=eyJ2IjoiMSJ9.uX2EtIOQpVjzlOJJa86G8A._7SORpVNaCw1-J9n52BzOZZ0bmCdJnrmN8MW8I7BWyA&amp;dib_tag=se&amp;keywords=B0CX15W87M&amp;nsdOptOutParam=true&amp;qid=1785529572&amp;sprefix=b0cx15w87m%252Caps%252C175&amp;sr=8-2</t>
  </si>
  <si>
    <t xml:space="preserve">2 Inch x 36 Inch 1 PCS Dowel Rods Wood Sticks Wooden Dowel Rods - Unfinished Bamboo Sticks - for Crafts and DIYers </t>
  </si>
  <si>
    <t>B0CX15W87M</t>
  </si>
  <si>
    <t>B0CXN25LJJ</t>
  </si>
  <si>
    <t>Each</t>
  </si>
  <si>
    <t>1/4"-20 Stainless Steel Setscrew, 3/4" Long, 25 Pack</t>
  </si>
  <si>
    <t>SS25S075</t>
  </si>
  <si>
    <t>pack (25)</t>
  </si>
  <si>
    <t>Metal Pipe, Aluminum</t>
  </si>
  <si>
    <t>https://jlcpcb.com/</t>
  </si>
  <si>
    <t>Reed Relay edr201a0500</t>
  </si>
  <si>
    <t>Jameco</t>
  </si>
  <si>
    <t>106463 (SKU:EDR201A05Z)</t>
  </si>
  <si>
    <t>HiLetgo 20pcs 40P 2.54mm Pitch Single Row Pin Header Strip 40Pin 2.54mm Pitch</t>
  </si>
  <si>
    <t>B07R5QDL8D</t>
  </si>
  <si>
    <t>Raspberry Pi Screen 7inch Monitor IPS 1024x600 HDMI Capacative 7'' Touch Screen Monitors Compatible with 3B+/3/2 B/B+/ Banana Pi Windows10/8.1/8/7 Driver Free 5-Point Raspberry pi Display</t>
  </si>
  <si>
    <t>B0BZGW51FY</t>
  </si>
  <si>
    <t>Item #</t>
  </si>
  <si>
    <t>SH25S100</t>
  </si>
  <si>
    <t>1/4"-20 Stainless Steel Cap Screw, 1" Long, 25 Pack</t>
  </si>
  <si>
    <t>1/4"-20 Stainless Steel Cap Screw, 3/4" Long, 25 Pack</t>
  </si>
  <si>
    <t>SH25S075</t>
  </si>
  <si>
    <t xml:space="preserve">Rubber Feet, Speaker Feet,16 Pack, 1.6“W x 0.4”H | Heavy Duty Speaker Rubber Feet Use for Subwoofer Feet, Road Case Feet，Cutting Board feet,Furniture Feet, 40mm x 10mm, Black </t>
  </si>
  <si>
    <t xml:space="preserve">iexcell 100 Pcs #8-32 x 1 Stainless Steel 304 Hex Socket Button Head Cap Screws Bolts Kit </t>
  </si>
  <si>
    <t>1/4"-20 Stainless Steel Cap Screw, 5/8" Long, 25 Pack</t>
  </si>
  <si>
    <t>SH25S063</t>
  </si>
  <si>
    <t>pack (16)</t>
  </si>
  <si>
    <t>B096RC5ZCX</t>
  </si>
  <si>
    <t>B0C5MCZD2X</t>
  </si>
  <si>
    <t>pack (100)</t>
  </si>
  <si>
    <t>Rotary Encoder/Wheel Adapter</t>
  </si>
  <si>
    <t>Tough Resin</t>
  </si>
  <si>
    <t>~$5</t>
  </si>
  <si>
    <t>Hook with Acrylic Adhesive Back</t>
  </si>
  <si>
    <t>McMasterCarr</t>
  </si>
  <si>
    <t>96035K21</t>
  </si>
  <si>
    <t>15 ft</t>
  </si>
  <si>
    <t>LOOP with Acrylic Adhesive Back</t>
  </si>
  <si>
    <t>96035K41</t>
  </si>
  <si>
    <t xml:space="preserve">Gorilla 2 Part Epoxy, Incredibly Strong Bonding, 5 Minute Set, 0.85 oz | Water Resistant, Bonds Uneven or Vertical Surfaces, Easy-to-Use Syringe </t>
  </si>
  <si>
    <t>B001Z3C3AG</t>
  </si>
  <si>
    <t>Ø1/2" Post Holder, Spring-Loaded Hex-Locking Thumbscrew, L = 0.5", 5 Pack</t>
  </si>
  <si>
    <t>PRV AUDIO Soft Dome Tweeters 240 Watts 4 Ohm TW150SD-4 with Built-in Crossover, 32 mm Silk Dome, Neodymium Magnet for Car Audio and Motorcycle Systems Easy Flush Mount (Pair)</t>
  </si>
  <si>
    <t>Received</t>
  </si>
  <si>
    <t>pack of 2</t>
  </si>
  <si>
    <t>~$1</t>
  </si>
  <si>
    <t>Camera Mount</t>
  </si>
  <si>
    <t>mouseplatform_part47.stl</t>
  </si>
  <si>
    <t>encoderwheeladapter_part48.stl</t>
  </si>
  <si>
    <t>cameramount_part49.stl</t>
  </si>
  <si>
    <t>servomotormount_part50.3mf</t>
  </si>
  <si>
    <t>speakerholder_part51.stl</t>
  </si>
  <si>
    <t>touchscreenmount_Part52.3mf</t>
  </si>
  <si>
    <t>solenoidholder_part53_variant1.stl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</si>
</sst>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8" fontId="0" fillId="0" borderId="0" xfId="0" applyNumberFormat="1"/>
    <xf numFmtId="44" fontId="0" fillId="0" borderId="0" xfId="1" applyFont="1"/>
    <xf numFmtId="44" fontId="0" fillId="0" borderId="0" xfId="0" applyNumberFormat="1"/>
    <xf numFmtId="0" fontId="4" fillId="0" borderId="0" xfId="2"/>
    <xf numFmtId="44" fontId="2" fillId="0" borderId="0" xfId="0" applyNumberFormat="1" applyFont="1"/>
    <xf numFmtId="44" fontId="2" fillId="2" borderId="0" xfId="0" applyNumberFormat="1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2" borderId="0" xfId="0" applyNumberFormat="1" applyFill="1"/>
    <xf numFmtId="8" fontId="2" fillId="2" borderId="0" xfId="0" applyNumberFormat="1" applyFont="1" applyFill="1"/>
    <xf numFmtId="44" fontId="0" fillId="2" borderId="0" xfId="0" applyNumberFormat="1" applyFill="1"/>
    <xf numFmtId="6" fontId="0" fillId="2" borderId="0" xfId="0" applyNumberFormat="1" applyFill="1"/>
    <xf numFmtId="44" fontId="0" fillId="2" borderId="0" xfId="1" applyFont="1" applyFill="1"/>
    <xf numFmtId="8" fontId="0" fillId="0" borderId="0" xfId="1" applyNumberFormat="1" applyFont="1"/>
    <xf numFmtId="6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horlabs.com/item/MB810" TargetMode="External"/><Relationship Id="rId1" Type="http://schemas.openxmlformats.org/officeDocument/2006/relationships/hyperlink" Target="https://www.thorlabs.com/item/PH2-P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4"/>
  <sheetViews>
    <sheetView tabSelected="1" topLeftCell="C53" zoomScale="85" zoomScaleNormal="85" workbookViewId="0">
      <selection activeCell="J63" sqref="J63"/>
    </sheetView>
  </sheetViews>
  <sheetFormatPr defaultRowHeight="15" x14ac:dyDescent="0.25"/>
  <cols>
    <col min="1" max="1" width="9.140625" style="12" customWidth="1"/>
    <col min="2" max="2" width="84.7109375" bestFit="1" customWidth="1"/>
    <col min="3" max="3" width="36.7109375" bestFit="1" customWidth="1"/>
    <col min="4" max="4" width="12.140625" bestFit="1" customWidth="1"/>
    <col min="5" max="5" width="11.140625" bestFit="1" customWidth="1"/>
    <col min="6" max="6" width="10.42578125" bestFit="1" customWidth="1"/>
    <col min="7" max="7" width="12" bestFit="1" customWidth="1"/>
    <col min="8" max="8" width="9" bestFit="1" customWidth="1"/>
    <col min="9" max="9" width="12.5703125" bestFit="1" customWidth="1"/>
    <col min="10" max="10" width="71.5703125" customWidth="1"/>
  </cols>
  <sheetData>
    <row r="1" spans="1:10" x14ac:dyDescent="0.25">
      <c r="A1" s="10" t="s">
        <v>5</v>
      </c>
      <c r="B1" s="8"/>
      <c r="C1" s="8"/>
      <c r="D1" s="8"/>
      <c r="E1" s="8"/>
      <c r="F1" s="8"/>
      <c r="G1" s="8"/>
      <c r="H1" s="8"/>
      <c r="I1" s="8"/>
    </row>
    <row r="2" spans="1:10" x14ac:dyDescent="0.25">
      <c r="A2" s="11" t="s">
        <v>186</v>
      </c>
      <c r="B2" s="1" t="s">
        <v>0</v>
      </c>
      <c r="C2" s="1" t="s">
        <v>7</v>
      </c>
      <c r="D2" s="1" t="s">
        <v>1</v>
      </c>
      <c r="E2" s="1" t="s">
        <v>2</v>
      </c>
      <c r="F2" s="1" t="s">
        <v>14</v>
      </c>
      <c r="G2" s="1" t="s">
        <v>4</v>
      </c>
      <c r="H2" s="1" t="s">
        <v>3</v>
      </c>
      <c r="I2" s="1" t="s">
        <v>38</v>
      </c>
      <c r="J2" s="1" t="s">
        <v>9</v>
      </c>
    </row>
    <row r="3" spans="1:10" x14ac:dyDescent="0.25">
      <c r="A3" s="11">
        <v>1</v>
      </c>
      <c r="B3" t="s">
        <v>6</v>
      </c>
      <c r="C3" t="s">
        <v>11</v>
      </c>
      <c r="D3" t="s">
        <v>8</v>
      </c>
      <c r="E3">
        <v>201566</v>
      </c>
      <c r="F3" t="s">
        <v>15</v>
      </c>
      <c r="G3">
        <v>0.5</v>
      </c>
      <c r="H3" s="2">
        <v>49.98</v>
      </c>
      <c r="I3" s="13">
        <f>G3*H3</f>
        <v>24.99</v>
      </c>
      <c r="J3" t="s">
        <v>10</v>
      </c>
    </row>
    <row r="4" spans="1:10" x14ac:dyDescent="0.25">
      <c r="A4" s="11">
        <v>2</v>
      </c>
      <c r="B4" t="s">
        <v>23</v>
      </c>
      <c r="C4" t="s">
        <v>25</v>
      </c>
      <c r="D4" t="s">
        <v>8</v>
      </c>
      <c r="E4">
        <v>802692</v>
      </c>
      <c r="F4" t="s">
        <v>24</v>
      </c>
      <c r="G4">
        <f>26/50</f>
        <v>0.52</v>
      </c>
      <c r="H4" s="2">
        <v>6.87</v>
      </c>
      <c r="I4" s="13">
        <f>G4*H4</f>
        <v>3.5724</v>
      </c>
      <c r="J4" t="s">
        <v>26</v>
      </c>
    </row>
    <row r="5" spans="1:10" x14ac:dyDescent="0.25">
      <c r="A5" s="11">
        <v>3</v>
      </c>
      <c r="B5" t="s">
        <v>27</v>
      </c>
      <c r="C5" t="s">
        <v>28</v>
      </c>
      <c r="D5" t="s">
        <v>8</v>
      </c>
      <c r="E5">
        <v>62050</v>
      </c>
      <c r="F5" t="s">
        <v>29</v>
      </c>
      <c r="G5">
        <v>0.2</v>
      </c>
      <c r="H5" s="2">
        <v>7.98</v>
      </c>
      <c r="I5" s="13">
        <f>G5*H5</f>
        <v>1.5960000000000001</v>
      </c>
      <c r="J5" t="s">
        <v>33</v>
      </c>
    </row>
    <row r="6" spans="1:10" x14ac:dyDescent="0.25">
      <c r="A6" s="11">
        <v>4</v>
      </c>
      <c r="B6" t="s">
        <v>35</v>
      </c>
      <c r="C6" t="s">
        <v>36</v>
      </c>
      <c r="D6" t="s">
        <v>8</v>
      </c>
      <c r="E6" t="s">
        <v>37</v>
      </c>
      <c r="F6" t="s">
        <v>32</v>
      </c>
      <c r="G6">
        <v>0.2</v>
      </c>
      <c r="H6" s="2">
        <v>38.979999999999997</v>
      </c>
      <c r="I6" s="13">
        <f>G6*H6</f>
        <v>7.7959999999999994</v>
      </c>
      <c r="J6" t="s">
        <v>35</v>
      </c>
    </row>
    <row r="7" spans="1:10" x14ac:dyDescent="0.25">
      <c r="A7" s="11">
        <v>5</v>
      </c>
      <c r="B7" t="s">
        <v>30</v>
      </c>
      <c r="C7" t="s">
        <v>31</v>
      </c>
      <c r="D7" t="s">
        <v>8</v>
      </c>
      <c r="E7">
        <v>270267</v>
      </c>
      <c r="F7" t="s">
        <v>32</v>
      </c>
      <c r="G7">
        <v>0.1</v>
      </c>
      <c r="H7" s="2">
        <v>40.98</v>
      </c>
      <c r="I7" s="13">
        <f>G7*H7</f>
        <v>4.0979999999999999</v>
      </c>
      <c r="J7" t="s">
        <v>34</v>
      </c>
    </row>
    <row r="8" spans="1:10" x14ac:dyDescent="0.25">
      <c r="A8" s="11">
        <v>6</v>
      </c>
      <c r="B8" t="s">
        <v>20</v>
      </c>
      <c r="C8" t="s">
        <v>21</v>
      </c>
      <c r="D8" t="s">
        <v>8</v>
      </c>
      <c r="E8">
        <v>731837</v>
      </c>
      <c r="F8" t="s">
        <v>16</v>
      </c>
      <c r="G8">
        <v>0.5</v>
      </c>
      <c r="H8" s="2">
        <v>19.670000000000002</v>
      </c>
      <c r="I8" s="13">
        <f t="shared" ref="I8:I11" si="0">G8*H8</f>
        <v>9.8350000000000009</v>
      </c>
      <c r="J8" t="s">
        <v>22</v>
      </c>
    </row>
    <row r="9" spans="1:10" x14ac:dyDescent="0.25">
      <c r="A9" s="11">
        <v>7</v>
      </c>
      <c r="B9" t="s">
        <v>12</v>
      </c>
      <c r="C9" t="s">
        <v>13</v>
      </c>
      <c r="D9" t="s">
        <v>8</v>
      </c>
      <c r="E9" t="s">
        <v>19</v>
      </c>
      <c r="F9" t="s">
        <v>17</v>
      </c>
      <c r="G9">
        <v>2</v>
      </c>
      <c r="H9" s="2">
        <v>6.32</v>
      </c>
      <c r="I9" s="13">
        <f t="shared" si="0"/>
        <v>12.64</v>
      </c>
      <c r="J9" t="s">
        <v>18</v>
      </c>
    </row>
    <row r="10" spans="1:10" x14ac:dyDescent="0.25">
      <c r="A10" s="11">
        <v>8</v>
      </c>
      <c r="B10" t="s">
        <v>85</v>
      </c>
      <c r="C10" t="s">
        <v>86</v>
      </c>
      <c r="D10" t="s">
        <v>70</v>
      </c>
      <c r="E10" t="s">
        <v>87</v>
      </c>
      <c r="F10" t="s">
        <v>16</v>
      </c>
      <c r="G10">
        <v>1</v>
      </c>
      <c r="H10" s="2">
        <v>6.99</v>
      </c>
      <c r="I10" s="13">
        <f t="shared" si="0"/>
        <v>6.99</v>
      </c>
      <c r="J10" t="s">
        <v>92</v>
      </c>
    </row>
    <row r="11" spans="1:10" x14ac:dyDescent="0.25">
      <c r="A11" s="11">
        <v>9</v>
      </c>
      <c r="B11" t="s">
        <v>88</v>
      </c>
      <c r="C11" t="s">
        <v>89</v>
      </c>
      <c r="D11" t="s">
        <v>70</v>
      </c>
      <c r="E11" t="s">
        <v>90</v>
      </c>
      <c r="F11" t="s">
        <v>91</v>
      </c>
      <c r="G11">
        <f>1/24</f>
        <v>4.1666666666666664E-2</v>
      </c>
      <c r="H11" s="2">
        <v>66.63</v>
      </c>
      <c r="I11" s="13">
        <f t="shared" si="0"/>
        <v>2.7762499999999997</v>
      </c>
      <c r="J11" t="s">
        <v>93</v>
      </c>
    </row>
    <row r="12" spans="1:10" x14ac:dyDescent="0.25">
      <c r="A12" s="11">
        <v>10</v>
      </c>
      <c r="B12" t="s">
        <v>163</v>
      </c>
      <c r="C12" t="s">
        <v>165</v>
      </c>
      <c r="D12" t="s">
        <v>70</v>
      </c>
      <c r="E12" t="s">
        <v>164</v>
      </c>
      <c r="F12" t="s">
        <v>166</v>
      </c>
      <c r="G12">
        <f>3/12</f>
        <v>0.25</v>
      </c>
      <c r="H12" s="2">
        <v>34.99</v>
      </c>
      <c r="I12" s="13">
        <f t="shared" ref="I12:I14" si="1">G12*H12</f>
        <v>8.7475000000000005</v>
      </c>
      <c r="J12" t="s">
        <v>167</v>
      </c>
    </row>
    <row r="13" spans="1:10" x14ac:dyDescent="0.25">
      <c r="A13" s="11">
        <v>11</v>
      </c>
      <c r="B13" t="s">
        <v>168</v>
      </c>
      <c r="D13" t="s">
        <v>70</v>
      </c>
      <c r="E13" t="s">
        <v>171</v>
      </c>
      <c r="F13" t="s">
        <v>16</v>
      </c>
      <c r="G13">
        <v>1</v>
      </c>
      <c r="H13" s="2">
        <v>15.99</v>
      </c>
      <c r="I13" s="13">
        <f t="shared" si="1"/>
        <v>15.99</v>
      </c>
      <c r="J13" t="s">
        <v>169</v>
      </c>
    </row>
    <row r="14" spans="1:10" x14ac:dyDescent="0.25">
      <c r="A14" s="11">
        <v>12</v>
      </c>
      <c r="B14" t="s">
        <v>170</v>
      </c>
      <c r="D14" t="s">
        <v>70</v>
      </c>
      <c r="E14" t="s">
        <v>172</v>
      </c>
      <c r="F14" t="s">
        <v>173</v>
      </c>
      <c r="G14">
        <f>0.5</f>
        <v>0.5</v>
      </c>
      <c r="H14" s="2">
        <v>25.99</v>
      </c>
      <c r="I14" s="13">
        <f t="shared" si="1"/>
        <v>12.994999999999999</v>
      </c>
    </row>
    <row r="15" spans="1:10" x14ac:dyDescent="0.25">
      <c r="B15" s="1" t="s">
        <v>96</v>
      </c>
      <c r="C15" s="1"/>
      <c r="D15" s="1"/>
      <c r="E15" s="1"/>
      <c r="F15" s="1"/>
      <c r="G15" s="1"/>
      <c r="H15" s="1"/>
      <c r="I15" s="14">
        <f>SUM(I3:I14)</f>
        <v>112.02615</v>
      </c>
    </row>
    <row r="17" spans="1:10" x14ac:dyDescent="0.25">
      <c r="A17" s="10" t="s">
        <v>77</v>
      </c>
    </row>
    <row r="18" spans="1:10" x14ac:dyDescent="0.25">
      <c r="A18" s="11" t="s">
        <v>186</v>
      </c>
      <c r="B18" s="1" t="s">
        <v>0</v>
      </c>
      <c r="C18" s="1" t="s">
        <v>7</v>
      </c>
      <c r="D18" s="1" t="s">
        <v>1</v>
      </c>
      <c r="E18" s="1" t="s">
        <v>2</v>
      </c>
      <c r="F18" s="1" t="s">
        <v>14</v>
      </c>
      <c r="G18" s="1" t="s">
        <v>4</v>
      </c>
      <c r="H18" s="1" t="s">
        <v>3</v>
      </c>
      <c r="I18" s="1" t="s">
        <v>38</v>
      </c>
      <c r="J18" s="1" t="s">
        <v>9</v>
      </c>
    </row>
    <row r="19" spans="1:10" x14ac:dyDescent="0.25">
      <c r="A19" s="11">
        <v>13</v>
      </c>
      <c r="B19" t="s">
        <v>39</v>
      </c>
      <c r="D19" t="s">
        <v>40</v>
      </c>
      <c r="E19" t="s">
        <v>60</v>
      </c>
      <c r="F19" t="s">
        <v>44</v>
      </c>
      <c r="G19">
        <v>1</v>
      </c>
      <c r="H19" s="3">
        <v>140.81</v>
      </c>
      <c r="I19" s="15">
        <f t="shared" ref="I19:I50" si="2">G19*H19</f>
        <v>140.81</v>
      </c>
      <c r="J19" s="5" t="s">
        <v>41</v>
      </c>
    </row>
    <row r="20" spans="1:10" x14ac:dyDescent="0.25">
      <c r="A20" s="11">
        <v>14</v>
      </c>
      <c r="B20" t="s">
        <v>191</v>
      </c>
      <c r="D20" t="s">
        <v>70</v>
      </c>
      <c r="E20" t="s">
        <v>196</v>
      </c>
      <c r="F20" t="s">
        <v>195</v>
      </c>
      <c r="G20">
        <f>1/4</f>
        <v>0.25</v>
      </c>
      <c r="H20" s="18">
        <v>8.99</v>
      </c>
      <c r="I20" s="15">
        <f t="shared" si="2"/>
        <v>2.2475000000000001</v>
      </c>
      <c r="J20" s="5"/>
    </row>
    <row r="21" spans="1:10" x14ac:dyDescent="0.25">
      <c r="A21" s="11">
        <v>15</v>
      </c>
      <c r="B21" t="s">
        <v>192</v>
      </c>
      <c r="D21" t="s">
        <v>70</v>
      </c>
      <c r="E21" t="s">
        <v>197</v>
      </c>
      <c r="F21" t="s">
        <v>198</v>
      </c>
      <c r="G21">
        <f>4/100</f>
        <v>0.04</v>
      </c>
      <c r="H21" s="3">
        <v>7.86</v>
      </c>
      <c r="I21" s="15">
        <f t="shared" si="2"/>
        <v>0.31440000000000001</v>
      </c>
      <c r="J21" s="5"/>
    </row>
    <row r="22" spans="1:10" x14ac:dyDescent="0.25">
      <c r="A22" s="11">
        <v>16</v>
      </c>
      <c r="B22" t="s">
        <v>193</v>
      </c>
      <c r="D22" t="s">
        <v>40</v>
      </c>
      <c r="E22" t="s">
        <v>194</v>
      </c>
      <c r="F22" t="s">
        <v>176</v>
      </c>
      <c r="G22">
        <v>1</v>
      </c>
      <c r="H22" s="3">
        <v>15.14</v>
      </c>
      <c r="I22" s="15">
        <f t="shared" si="2"/>
        <v>15.14</v>
      </c>
      <c r="J22" s="5"/>
    </row>
    <row r="23" spans="1:10" x14ac:dyDescent="0.25">
      <c r="A23" s="11">
        <v>17</v>
      </c>
      <c r="B23" t="s">
        <v>174</v>
      </c>
      <c r="D23" t="s">
        <v>40</v>
      </c>
      <c r="E23" t="s">
        <v>175</v>
      </c>
      <c r="F23" t="s">
        <v>176</v>
      </c>
      <c r="G23">
        <v>1</v>
      </c>
      <c r="H23" s="2">
        <v>8.14</v>
      </c>
      <c r="I23" s="15">
        <f t="shared" si="2"/>
        <v>8.14</v>
      </c>
    </row>
    <row r="24" spans="1:10" x14ac:dyDescent="0.25">
      <c r="A24" s="11">
        <v>18</v>
      </c>
      <c r="B24" t="s">
        <v>188</v>
      </c>
      <c r="D24" t="s">
        <v>40</v>
      </c>
      <c r="E24" t="s">
        <v>187</v>
      </c>
      <c r="F24" t="s">
        <v>176</v>
      </c>
      <c r="G24">
        <v>1</v>
      </c>
      <c r="H24" s="2">
        <v>12.34</v>
      </c>
      <c r="I24" s="15">
        <f t="shared" si="2"/>
        <v>12.34</v>
      </c>
    </row>
    <row r="25" spans="1:10" x14ac:dyDescent="0.25">
      <c r="A25" s="11">
        <v>19</v>
      </c>
      <c r="B25" t="s">
        <v>189</v>
      </c>
      <c r="D25" t="s">
        <v>40</v>
      </c>
      <c r="E25" t="s">
        <v>190</v>
      </c>
      <c r="F25" t="s">
        <v>176</v>
      </c>
      <c r="G25">
        <v>1</v>
      </c>
      <c r="H25" s="2">
        <v>17.71</v>
      </c>
      <c r="I25" s="15">
        <f t="shared" si="2"/>
        <v>17.71</v>
      </c>
    </row>
    <row r="26" spans="1:10" x14ac:dyDescent="0.25">
      <c r="A26" s="11">
        <v>20</v>
      </c>
      <c r="B26" t="s">
        <v>50</v>
      </c>
      <c r="D26" t="s">
        <v>40</v>
      </c>
      <c r="E26" t="s">
        <v>49</v>
      </c>
      <c r="F26" t="s">
        <v>44</v>
      </c>
      <c r="G26">
        <f>3/5</f>
        <v>0.6</v>
      </c>
      <c r="H26" s="2">
        <v>32.1</v>
      </c>
      <c r="I26" s="15">
        <f t="shared" si="2"/>
        <v>19.260000000000002</v>
      </c>
      <c r="J26" t="s">
        <v>48</v>
      </c>
    </row>
    <row r="27" spans="1:10" x14ac:dyDescent="0.25">
      <c r="A27" s="11">
        <v>21</v>
      </c>
      <c r="B27" t="s">
        <v>51</v>
      </c>
      <c r="D27" t="s">
        <v>40</v>
      </c>
      <c r="E27" t="s">
        <v>47</v>
      </c>
      <c r="F27" t="s">
        <v>44</v>
      </c>
      <c r="G27">
        <f>2/5</f>
        <v>0.4</v>
      </c>
      <c r="H27" s="2">
        <v>45.66</v>
      </c>
      <c r="I27" s="15">
        <f t="shared" si="2"/>
        <v>18.263999999999999</v>
      </c>
      <c r="J27" s="5" t="s">
        <v>46</v>
      </c>
    </row>
    <row r="28" spans="1:10" x14ac:dyDescent="0.25">
      <c r="A28" s="11">
        <v>22</v>
      </c>
      <c r="B28" t="s">
        <v>68</v>
      </c>
      <c r="D28" t="s">
        <v>69</v>
      </c>
      <c r="E28" t="s">
        <v>72</v>
      </c>
      <c r="F28" t="s">
        <v>65</v>
      </c>
      <c r="G28">
        <v>1</v>
      </c>
      <c r="H28" s="2">
        <v>48.5</v>
      </c>
      <c r="I28" s="15">
        <f t="shared" si="2"/>
        <v>48.5</v>
      </c>
      <c r="J28" t="s">
        <v>71</v>
      </c>
    </row>
    <row r="29" spans="1:10" x14ac:dyDescent="0.25">
      <c r="A29" s="11">
        <v>23</v>
      </c>
      <c r="B29" t="s">
        <v>74</v>
      </c>
      <c r="C29" t="s">
        <v>75</v>
      </c>
      <c r="D29" t="s">
        <v>70</v>
      </c>
      <c r="E29" t="s">
        <v>73</v>
      </c>
      <c r="F29" t="s">
        <v>76</v>
      </c>
      <c r="G29">
        <f>1/4</f>
        <v>0.25</v>
      </c>
      <c r="H29" s="2">
        <v>9.99</v>
      </c>
      <c r="I29" s="15">
        <f t="shared" si="2"/>
        <v>2.4975000000000001</v>
      </c>
    </row>
    <row r="30" spans="1:10" x14ac:dyDescent="0.25">
      <c r="A30" s="11">
        <v>24</v>
      </c>
      <c r="B30" t="s">
        <v>177</v>
      </c>
      <c r="D30" t="s">
        <v>147</v>
      </c>
      <c r="E30" t="s">
        <v>148</v>
      </c>
      <c r="F30" t="s">
        <v>150</v>
      </c>
      <c r="G30">
        <f>1/10</f>
        <v>0.1</v>
      </c>
      <c r="H30" s="2">
        <v>17.77</v>
      </c>
      <c r="I30" s="15">
        <f t="shared" si="2"/>
        <v>1.7770000000000001</v>
      </c>
    </row>
    <row r="31" spans="1:10" x14ac:dyDescent="0.25">
      <c r="A31" s="11">
        <v>25</v>
      </c>
      <c r="B31" t="s">
        <v>202</v>
      </c>
      <c r="D31" t="s">
        <v>203</v>
      </c>
      <c r="E31" t="s">
        <v>204</v>
      </c>
      <c r="F31" t="s">
        <v>205</v>
      </c>
      <c r="G31">
        <f>2/300</f>
        <v>6.6666666666666671E-3</v>
      </c>
      <c r="H31" s="2">
        <v>38.700000000000003</v>
      </c>
      <c r="I31" s="15">
        <f t="shared" si="2"/>
        <v>0.25800000000000006</v>
      </c>
    </row>
    <row r="32" spans="1:10" x14ac:dyDescent="0.25">
      <c r="A32" s="11">
        <v>26</v>
      </c>
      <c r="B32" t="s">
        <v>206</v>
      </c>
      <c r="D32" t="s">
        <v>203</v>
      </c>
      <c r="E32" t="s">
        <v>207</v>
      </c>
      <c r="F32" t="s">
        <v>205</v>
      </c>
      <c r="G32">
        <f>2/300</f>
        <v>6.6666666666666671E-3</v>
      </c>
      <c r="H32" s="2">
        <v>38.700000000000003</v>
      </c>
      <c r="I32" s="15">
        <f t="shared" si="2"/>
        <v>0.25800000000000006</v>
      </c>
    </row>
    <row r="33" spans="1:10" x14ac:dyDescent="0.25">
      <c r="A33" s="11">
        <v>27</v>
      </c>
      <c r="B33" t="s">
        <v>145</v>
      </c>
      <c r="D33" t="s">
        <v>139</v>
      </c>
      <c r="E33" t="s">
        <v>146</v>
      </c>
      <c r="F33" t="s">
        <v>149</v>
      </c>
      <c r="G33">
        <f>1/5</f>
        <v>0.2</v>
      </c>
      <c r="H33" s="2">
        <v>4.9400000000000004</v>
      </c>
      <c r="I33" s="15">
        <f t="shared" si="2"/>
        <v>0.9880000000000001</v>
      </c>
    </row>
    <row r="34" spans="1:10" x14ac:dyDescent="0.25">
      <c r="A34" s="11">
        <v>28</v>
      </c>
      <c r="B34" t="s">
        <v>156</v>
      </c>
      <c r="D34" t="s">
        <v>147</v>
      </c>
      <c r="E34" t="s">
        <v>157</v>
      </c>
      <c r="F34" t="s">
        <v>158</v>
      </c>
      <c r="G34">
        <f>3/100</f>
        <v>0.03</v>
      </c>
      <c r="H34" s="2">
        <v>29</v>
      </c>
      <c r="I34" s="15">
        <f t="shared" si="2"/>
        <v>0.87</v>
      </c>
    </row>
    <row r="35" spans="1:10" x14ac:dyDescent="0.25">
      <c r="A35" s="11">
        <v>29</v>
      </c>
      <c r="B35" t="s">
        <v>162</v>
      </c>
      <c r="D35" t="s">
        <v>139</v>
      </c>
      <c r="E35" t="s">
        <v>141</v>
      </c>
      <c r="F35" t="s">
        <v>142</v>
      </c>
      <c r="G35">
        <f>1/100</f>
        <v>0.01</v>
      </c>
      <c r="H35" s="2">
        <v>10.83</v>
      </c>
      <c r="I35" s="15">
        <f t="shared" si="2"/>
        <v>0.10830000000000001</v>
      </c>
    </row>
    <row r="36" spans="1:10" x14ac:dyDescent="0.25">
      <c r="A36" s="11">
        <v>30</v>
      </c>
      <c r="B36" t="s">
        <v>208</v>
      </c>
      <c r="D36" t="s">
        <v>70</v>
      </c>
      <c r="E36" t="s">
        <v>209</v>
      </c>
      <c r="F36" t="s">
        <v>65</v>
      </c>
      <c r="G36">
        <f>0.1</f>
        <v>0.1</v>
      </c>
      <c r="H36" s="2">
        <v>5.97</v>
      </c>
      <c r="I36" s="15">
        <f t="shared" si="2"/>
        <v>0.59699999999999998</v>
      </c>
    </row>
    <row r="37" spans="1:10" x14ac:dyDescent="0.25">
      <c r="A37" s="11">
        <v>31</v>
      </c>
      <c r="B37" t="s">
        <v>151</v>
      </c>
      <c r="D37" t="s">
        <v>152</v>
      </c>
      <c r="E37" t="s">
        <v>153</v>
      </c>
      <c r="F37" t="s">
        <v>65</v>
      </c>
      <c r="G37">
        <v>1</v>
      </c>
      <c r="H37" s="2">
        <v>86.17</v>
      </c>
      <c r="I37" s="15">
        <f t="shared" si="2"/>
        <v>86.17</v>
      </c>
    </row>
    <row r="38" spans="1:10" x14ac:dyDescent="0.25">
      <c r="A38" s="11">
        <v>32</v>
      </c>
      <c r="B38" t="s">
        <v>143</v>
      </c>
      <c r="D38" t="s">
        <v>139</v>
      </c>
      <c r="E38" t="s">
        <v>144</v>
      </c>
      <c r="F38" t="s">
        <v>149</v>
      </c>
      <c r="G38">
        <f>1/5</f>
        <v>0.2</v>
      </c>
      <c r="H38" s="2">
        <v>4.79</v>
      </c>
      <c r="I38" s="15">
        <f t="shared" si="2"/>
        <v>0.95800000000000007</v>
      </c>
    </row>
    <row r="39" spans="1:10" x14ac:dyDescent="0.25">
      <c r="A39" s="11">
        <v>33</v>
      </c>
      <c r="B39" t="s">
        <v>154</v>
      </c>
      <c r="D39" t="s">
        <v>152</v>
      </c>
      <c r="E39" t="s">
        <v>155</v>
      </c>
      <c r="F39" t="s">
        <v>65</v>
      </c>
      <c r="G39">
        <v>2</v>
      </c>
      <c r="H39" s="2">
        <v>10.28</v>
      </c>
      <c r="I39" s="15">
        <f t="shared" si="2"/>
        <v>20.56</v>
      </c>
    </row>
    <row r="40" spans="1:10" x14ac:dyDescent="0.25">
      <c r="A40" s="11">
        <v>34</v>
      </c>
      <c r="B40" t="s">
        <v>130</v>
      </c>
      <c r="D40" t="s">
        <v>139</v>
      </c>
      <c r="E40" t="s">
        <v>140</v>
      </c>
      <c r="F40" t="s">
        <v>24</v>
      </c>
      <c r="G40">
        <f>1/50</f>
        <v>0.02</v>
      </c>
      <c r="H40" s="2">
        <v>8.24</v>
      </c>
      <c r="I40" s="15">
        <f t="shared" si="2"/>
        <v>0.1648</v>
      </c>
      <c r="J40" t="s">
        <v>135</v>
      </c>
    </row>
    <row r="41" spans="1:10" x14ac:dyDescent="0.25">
      <c r="A41" s="11">
        <v>35</v>
      </c>
      <c r="B41" t="s">
        <v>136</v>
      </c>
      <c r="D41" t="s">
        <v>70</v>
      </c>
      <c r="E41" t="s">
        <v>137</v>
      </c>
      <c r="F41" t="s">
        <v>138</v>
      </c>
      <c r="G41">
        <v>0.01</v>
      </c>
      <c r="H41" s="2">
        <v>19.989999999999998</v>
      </c>
      <c r="I41" s="15">
        <f t="shared" si="2"/>
        <v>0.19989999999999999</v>
      </c>
      <c r="J41" t="s">
        <v>134</v>
      </c>
    </row>
    <row r="42" spans="1:10" x14ac:dyDescent="0.25">
      <c r="A42" s="11">
        <v>36</v>
      </c>
      <c r="B42" t="s">
        <v>131</v>
      </c>
      <c r="D42" t="s">
        <v>70</v>
      </c>
      <c r="E42" t="s">
        <v>132</v>
      </c>
      <c r="F42" t="s">
        <v>133</v>
      </c>
      <c r="G42">
        <v>0.05</v>
      </c>
      <c r="H42" s="2">
        <v>12.48</v>
      </c>
      <c r="I42" s="15">
        <f t="shared" si="2"/>
        <v>0.62400000000000011</v>
      </c>
      <c r="J42" s="5" t="s">
        <v>53</v>
      </c>
    </row>
    <row r="43" spans="1:10" x14ac:dyDescent="0.25">
      <c r="A43" s="11">
        <v>37</v>
      </c>
      <c r="B43" t="s">
        <v>42</v>
      </c>
      <c r="D43" t="s">
        <v>40</v>
      </c>
      <c r="E43" t="s">
        <v>43</v>
      </c>
      <c r="F43" t="s">
        <v>44</v>
      </c>
      <c r="G43">
        <v>0.2</v>
      </c>
      <c r="H43" s="2">
        <v>56.45</v>
      </c>
      <c r="I43" s="15">
        <f t="shared" si="2"/>
        <v>11.290000000000001</v>
      </c>
      <c r="J43" t="s">
        <v>45</v>
      </c>
    </row>
    <row r="44" spans="1:10" x14ac:dyDescent="0.25">
      <c r="A44" s="11">
        <v>38</v>
      </c>
      <c r="B44" t="s">
        <v>210</v>
      </c>
      <c r="D44" t="s">
        <v>40</v>
      </c>
      <c r="E44" t="s">
        <v>52</v>
      </c>
      <c r="F44" t="s">
        <v>44</v>
      </c>
      <c r="G44">
        <f>3/5</f>
        <v>0.6</v>
      </c>
      <c r="H44" s="2">
        <v>41.7</v>
      </c>
      <c r="I44" s="15">
        <f t="shared" si="2"/>
        <v>25.02</v>
      </c>
      <c r="J44" s="5" t="s">
        <v>61</v>
      </c>
    </row>
    <row r="45" spans="1:10" x14ac:dyDescent="0.25">
      <c r="A45" s="11">
        <v>39</v>
      </c>
      <c r="B45" t="s">
        <v>62</v>
      </c>
      <c r="D45" t="s">
        <v>40</v>
      </c>
      <c r="E45" t="s">
        <v>59</v>
      </c>
      <c r="F45" t="s">
        <v>44</v>
      </c>
      <c r="G45">
        <f>2/5</f>
        <v>0.4</v>
      </c>
      <c r="H45" s="2">
        <v>27.08</v>
      </c>
      <c r="I45" s="15">
        <f t="shared" si="2"/>
        <v>10.832000000000001</v>
      </c>
      <c r="J45" t="s">
        <v>56</v>
      </c>
    </row>
    <row r="46" spans="1:10" x14ac:dyDescent="0.25">
      <c r="A46" s="11">
        <v>40</v>
      </c>
      <c r="B46" t="s">
        <v>80</v>
      </c>
      <c r="D46" t="s">
        <v>70</v>
      </c>
      <c r="E46" t="s">
        <v>79</v>
      </c>
      <c r="F46" t="s">
        <v>65</v>
      </c>
      <c r="G46">
        <v>1</v>
      </c>
      <c r="H46" s="2">
        <v>49.99</v>
      </c>
      <c r="I46" s="15">
        <f t="shared" si="2"/>
        <v>49.99</v>
      </c>
      <c r="J46" t="s">
        <v>94</v>
      </c>
    </row>
    <row r="47" spans="1:10" x14ac:dyDescent="0.25">
      <c r="A47" s="11">
        <v>41</v>
      </c>
      <c r="B47" t="s">
        <v>54</v>
      </c>
      <c r="D47" t="s">
        <v>40</v>
      </c>
      <c r="E47" t="s">
        <v>55</v>
      </c>
      <c r="F47" t="s">
        <v>44</v>
      </c>
      <c r="G47">
        <f>1/5</f>
        <v>0.2</v>
      </c>
      <c r="H47" s="2">
        <v>25.92</v>
      </c>
      <c r="I47" s="15">
        <f t="shared" si="2"/>
        <v>5.1840000000000011</v>
      </c>
      <c r="J47" t="s">
        <v>57</v>
      </c>
    </row>
    <row r="48" spans="1:10" x14ac:dyDescent="0.25">
      <c r="A48" s="11">
        <v>42</v>
      </c>
      <c r="B48" t="s">
        <v>84</v>
      </c>
      <c r="D48" t="s">
        <v>83</v>
      </c>
      <c r="E48">
        <v>1143</v>
      </c>
      <c r="F48" t="s">
        <v>65</v>
      </c>
      <c r="G48">
        <v>1</v>
      </c>
      <c r="H48" s="2">
        <v>9.9499999999999993</v>
      </c>
      <c r="I48" s="15">
        <f t="shared" si="2"/>
        <v>9.9499999999999993</v>
      </c>
    </row>
    <row r="49" spans="1:16384" customFormat="1" x14ac:dyDescent="0.25">
      <c r="A49" s="11">
        <v>43</v>
      </c>
      <c r="B49" t="s">
        <v>64</v>
      </c>
      <c r="D49" t="s">
        <v>70</v>
      </c>
      <c r="E49" t="s">
        <v>66</v>
      </c>
      <c r="F49" t="s">
        <v>65</v>
      </c>
      <c r="G49">
        <v>1</v>
      </c>
      <c r="H49" s="2">
        <v>27.99</v>
      </c>
      <c r="I49" s="15">
        <f t="shared" si="2"/>
        <v>27.99</v>
      </c>
      <c r="J49" t="s">
        <v>81</v>
      </c>
    </row>
    <row r="50" spans="1:16384" customFormat="1" x14ac:dyDescent="0.25">
      <c r="A50" s="11">
        <v>44</v>
      </c>
      <c r="B50" t="s">
        <v>63</v>
      </c>
      <c r="D50" t="s">
        <v>40</v>
      </c>
      <c r="E50" t="s">
        <v>58</v>
      </c>
      <c r="F50" t="s">
        <v>44</v>
      </c>
      <c r="G50">
        <f>1/5</f>
        <v>0.2</v>
      </c>
      <c r="H50" s="2">
        <v>28.38</v>
      </c>
      <c r="I50" s="15">
        <f t="shared" si="2"/>
        <v>5.6760000000000002</v>
      </c>
      <c r="J50" t="s">
        <v>67</v>
      </c>
    </row>
    <row r="51" spans="1:16384" customFormat="1" x14ac:dyDescent="0.25">
      <c r="A51" s="11">
        <v>45</v>
      </c>
      <c r="B51" t="s">
        <v>211</v>
      </c>
      <c r="C51" t="s">
        <v>212</v>
      </c>
      <c r="D51" t="s">
        <v>70</v>
      </c>
      <c r="E51" t="s">
        <v>82</v>
      </c>
      <c r="F51" t="s">
        <v>213</v>
      </c>
      <c r="G51">
        <v>6</v>
      </c>
      <c r="H51" s="2">
        <v>49.91</v>
      </c>
      <c r="I51" s="15"/>
      <c r="J51" t="s">
        <v>78</v>
      </c>
    </row>
    <row r="52" spans="1:16384" customFormat="1" x14ac:dyDescent="0.25">
      <c r="A52" s="12"/>
      <c r="B52" s="1" t="s">
        <v>96</v>
      </c>
      <c r="H52" s="2"/>
      <c r="I52" s="7">
        <f>SUM(I19:I51)</f>
        <v>544.68840000000012</v>
      </c>
    </row>
    <row r="54" spans="1:16384" customFormat="1" x14ac:dyDescent="0.25">
      <c r="A54" s="10" t="s">
        <v>95</v>
      </c>
    </row>
    <row r="55" spans="1:16384" customFormat="1" x14ac:dyDescent="0.25">
      <c r="A55" s="11" t="s">
        <v>186</v>
      </c>
      <c r="B55" s="1" t="s">
        <v>0</v>
      </c>
      <c r="C55" s="1" t="s">
        <v>7</v>
      </c>
      <c r="D55" s="1" t="s">
        <v>1</v>
      </c>
      <c r="E55" s="1"/>
      <c r="F55" s="1" t="s">
        <v>14</v>
      </c>
      <c r="G55" s="1" t="s">
        <v>4</v>
      </c>
      <c r="H55" s="1" t="s">
        <v>3</v>
      </c>
      <c r="I55" s="1" t="s">
        <v>38</v>
      </c>
      <c r="J55" s="1" t="s">
        <v>99</v>
      </c>
    </row>
    <row r="56" spans="1:16384" customFormat="1" x14ac:dyDescent="0.25">
      <c r="A56" s="11">
        <v>46</v>
      </c>
      <c r="B56" t="s">
        <v>101</v>
      </c>
      <c r="D56" t="s">
        <v>98</v>
      </c>
      <c r="F56" t="s">
        <v>102</v>
      </c>
      <c r="G56">
        <f>2/20</f>
        <v>0.1</v>
      </c>
      <c r="H56" s="2">
        <v>141.84</v>
      </c>
      <c r="I56" s="15">
        <f>G56*H56</f>
        <v>14.184000000000001</v>
      </c>
      <c r="J56" t="s">
        <v>103</v>
      </c>
    </row>
    <row r="57" spans="1:16384" customFormat="1" x14ac:dyDescent="0.25">
      <c r="A57" s="11">
        <v>47</v>
      </c>
      <c r="B57" t="s">
        <v>104</v>
      </c>
      <c r="C57" t="s">
        <v>105</v>
      </c>
      <c r="D57" t="s">
        <v>106</v>
      </c>
      <c r="F57" t="s">
        <v>65</v>
      </c>
      <c r="G57">
        <v>1</v>
      </c>
      <c r="H57" t="s">
        <v>109</v>
      </c>
      <c r="I57" s="16">
        <v>2</v>
      </c>
      <c r="J57" t="s">
        <v>216</v>
      </c>
    </row>
    <row r="58" spans="1:16384" customFormat="1" x14ac:dyDescent="0.25">
      <c r="A58" s="11">
        <v>48</v>
      </c>
      <c r="B58" t="s">
        <v>199</v>
      </c>
      <c r="C58" t="s">
        <v>200</v>
      </c>
      <c r="D58" t="s">
        <v>106</v>
      </c>
      <c r="F58" t="s">
        <v>65</v>
      </c>
      <c r="G58">
        <v>1</v>
      </c>
      <c r="H58" t="s">
        <v>201</v>
      </c>
      <c r="I58" s="16">
        <v>5</v>
      </c>
      <c r="J58" t="s">
        <v>217</v>
      </c>
    </row>
    <row r="59" spans="1:16384" customFormat="1" x14ac:dyDescent="0.25">
      <c r="A59" s="11">
        <v>49</v>
      </c>
      <c r="B59" t="s">
        <v>215</v>
      </c>
      <c r="C59" t="s">
        <v>105</v>
      </c>
      <c r="D59" t="s">
        <v>106</v>
      </c>
      <c r="F59" t="s">
        <v>65</v>
      </c>
      <c r="G59">
        <v>1</v>
      </c>
      <c r="H59" s="19" t="s">
        <v>109</v>
      </c>
      <c r="I59" s="16">
        <v>2</v>
      </c>
      <c r="J59" t="s">
        <v>218</v>
      </c>
    </row>
    <row r="60" spans="1:16384" customFormat="1" x14ac:dyDescent="0.25">
      <c r="A60" s="11">
        <v>50</v>
      </c>
      <c r="B60" t="s">
        <v>107</v>
      </c>
      <c r="C60" t="s">
        <v>105</v>
      </c>
      <c r="D60" t="s">
        <v>106</v>
      </c>
      <c r="F60" t="s">
        <v>65</v>
      </c>
      <c r="G60">
        <v>1</v>
      </c>
      <c r="H60" t="s">
        <v>109</v>
      </c>
      <c r="I60" s="16">
        <v>2</v>
      </c>
      <c r="J60" t="s">
        <v>219</v>
      </c>
    </row>
    <row r="61" spans="1:16384" customFormat="1" x14ac:dyDescent="0.25">
      <c r="A61" s="11">
        <v>51</v>
      </c>
      <c r="B61" t="s">
        <v>108</v>
      </c>
      <c r="C61" t="s">
        <v>105</v>
      </c>
      <c r="D61" t="s">
        <v>106</v>
      </c>
      <c r="F61" t="s">
        <v>65</v>
      </c>
      <c r="G61">
        <v>1</v>
      </c>
      <c r="H61" t="s">
        <v>109</v>
      </c>
      <c r="I61" s="16">
        <v>2</v>
      </c>
      <c r="J61" t="s">
        <v>220</v>
      </c>
    </row>
    <row r="62" spans="1:16384" customFormat="1" x14ac:dyDescent="0.25">
      <c r="A62" s="11">
        <v>52</v>
      </c>
      <c r="B62" t="s">
        <v>110</v>
      </c>
      <c r="C62" t="s">
        <v>105</v>
      </c>
      <c r="D62" t="s">
        <v>106</v>
      </c>
      <c r="F62" t="s">
        <v>65</v>
      </c>
      <c r="G62">
        <v>1</v>
      </c>
      <c r="H62" t="s">
        <v>109</v>
      </c>
      <c r="I62" s="16">
        <v>2</v>
      </c>
      <c r="J62" t="s">
        <v>221</v>
      </c>
    </row>
    <row r="63" spans="1:16384" customFormat="1" x14ac:dyDescent="0.25">
      <c r="A63" s="11">
        <v>53</v>
      </c>
      <c r="B63" t="s">
        <v>129</v>
      </c>
      <c r="C63" t="s">
        <v>105</v>
      </c>
      <c r="D63" t="s">
        <v>106</v>
      </c>
      <c r="F63" t="s">
        <v>65</v>
      </c>
      <c r="G63">
        <v>2</v>
      </c>
      <c r="H63" t="s">
        <v>214</v>
      </c>
      <c r="I63" s="16">
        <v>1</v>
      </c>
      <c r="J63" t="s">
        <v>222</v>
      </c>
    </row>
    <row r="64" spans="1:16384" customFormat="1" x14ac:dyDescent="0.25">
      <c r="A64" s="12"/>
      <c r="B64" s="1" t="s">
        <v>96</v>
      </c>
      <c r="H64" s="2"/>
      <c r="I64" s="7">
        <f>SUM(I56:I63)</f>
        <v>30.184000000000001</v>
      </c>
      <c r="J64" s="1"/>
      <c r="P64" s="2"/>
      <c r="Q64" s="6"/>
      <c r="R64" s="1"/>
      <c r="X64" s="2"/>
      <c r="Y64" s="6"/>
      <c r="Z64" s="1"/>
      <c r="AF64" s="2"/>
      <c r="AG64" s="6"/>
      <c r="AH64" s="1"/>
      <c r="AN64" s="2"/>
      <c r="AO64" s="6"/>
      <c r="AP64" s="1"/>
      <c r="AV64" s="2"/>
      <c r="AW64" s="6"/>
      <c r="AX64" s="1"/>
      <c r="BD64" s="2"/>
      <c r="BE64" s="6"/>
      <c r="BF64" s="1"/>
      <c r="BL64" s="2"/>
      <c r="BM64" s="6"/>
      <c r="BN64" s="1"/>
      <c r="BT64" s="2"/>
      <c r="BU64" s="6"/>
      <c r="BV64" s="1"/>
      <c r="CB64" s="2"/>
      <c r="CC64" s="6"/>
      <c r="CD64" s="1"/>
      <c r="CJ64" s="2"/>
      <c r="CK64" s="6"/>
      <c r="CL64" s="1"/>
      <c r="CR64" s="2"/>
      <c r="CS64" s="6"/>
      <c r="CT64" s="1"/>
      <c r="CZ64" s="2"/>
      <c r="DA64" s="6"/>
      <c r="DB64" s="1"/>
      <c r="DH64" s="2"/>
      <c r="DI64" s="6"/>
      <c r="DJ64" s="1"/>
      <c r="DP64" s="2"/>
      <c r="DQ64" s="6"/>
      <c r="DR64" s="1"/>
      <c r="DX64" s="2"/>
      <c r="DY64" s="6"/>
      <c r="DZ64" s="1"/>
      <c r="EF64" s="2"/>
      <c r="EG64" s="6"/>
      <c r="EH64" s="1"/>
      <c r="EN64" s="2"/>
      <c r="EO64" s="6"/>
      <c r="EP64" s="1"/>
      <c r="EV64" s="2"/>
      <c r="EW64" s="6"/>
      <c r="EX64" s="1"/>
      <c r="FD64" s="2"/>
      <c r="FE64" s="6"/>
      <c r="FF64" s="1"/>
      <c r="FL64" s="2"/>
      <c r="FM64" s="6"/>
      <c r="FN64" s="1"/>
      <c r="FT64" s="2"/>
      <c r="FU64" s="6"/>
      <c r="FV64" s="1"/>
      <c r="GB64" s="2"/>
      <c r="GC64" s="6"/>
      <c r="GD64" s="1"/>
      <c r="GJ64" s="2"/>
      <c r="GK64" s="6"/>
      <c r="GL64" s="1"/>
      <c r="GR64" s="2"/>
      <c r="GS64" s="6"/>
      <c r="GT64" s="1"/>
      <c r="GZ64" s="2"/>
      <c r="HA64" s="6"/>
      <c r="HB64" s="1"/>
      <c r="HH64" s="2"/>
      <c r="HI64" s="6"/>
      <c r="HJ64" s="1"/>
      <c r="HP64" s="2"/>
      <c r="HQ64" s="6"/>
      <c r="HR64" s="1"/>
      <c r="HX64" s="2"/>
      <c r="HY64" s="6"/>
      <c r="HZ64" s="1"/>
      <c r="IF64" s="2"/>
      <c r="IG64" s="6"/>
      <c r="IH64" s="1"/>
      <c r="IN64" s="2"/>
      <c r="IO64" s="6"/>
      <c r="IP64" s="1"/>
      <c r="IV64" s="2"/>
      <c r="IW64" s="6"/>
      <c r="IX64" s="1"/>
      <c r="JD64" s="2"/>
      <c r="JE64" s="6"/>
      <c r="JF64" s="1"/>
      <c r="JL64" s="2"/>
      <c r="JM64" s="6"/>
      <c r="JN64" s="1"/>
      <c r="JT64" s="2"/>
      <c r="JU64" s="6"/>
      <c r="JV64" s="1"/>
      <c r="KB64" s="2"/>
      <c r="KC64" s="6"/>
      <c r="KD64" s="1"/>
      <c r="KJ64" s="2"/>
      <c r="KK64" s="6"/>
      <c r="KL64" s="1"/>
      <c r="KR64" s="2"/>
      <c r="KS64" s="6"/>
      <c r="KT64" s="1"/>
      <c r="KZ64" s="2"/>
      <c r="LA64" s="6"/>
      <c r="LB64" s="1"/>
      <c r="LH64" s="2"/>
      <c r="LI64" s="6"/>
      <c r="LJ64" s="1"/>
      <c r="LP64" s="2"/>
      <c r="LQ64" s="6"/>
      <c r="LR64" s="1"/>
      <c r="LX64" s="2"/>
      <c r="LY64" s="6"/>
      <c r="LZ64" s="1"/>
      <c r="MF64" s="2"/>
      <c r="MG64" s="6"/>
      <c r="MH64" s="1"/>
      <c r="MN64" s="2"/>
      <c r="MO64" s="6"/>
      <c r="MP64" s="1"/>
      <c r="MV64" s="2"/>
      <c r="MW64" s="6"/>
      <c r="MX64" s="1"/>
      <c r="ND64" s="2"/>
      <c r="NE64" s="6"/>
      <c r="NF64" s="1"/>
      <c r="NL64" s="2"/>
      <c r="NM64" s="6"/>
      <c r="NN64" s="1"/>
      <c r="NT64" s="2"/>
      <c r="NU64" s="6"/>
      <c r="NV64" s="1"/>
      <c r="OB64" s="2"/>
      <c r="OC64" s="6"/>
      <c r="OD64" s="1"/>
      <c r="OJ64" s="2"/>
      <c r="OK64" s="6"/>
      <c r="OL64" s="1"/>
      <c r="OR64" s="2"/>
      <c r="OS64" s="6"/>
      <c r="OT64" s="1"/>
      <c r="OZ64" s="2"/>
      <c r="PA64" s="6"/>
      <c r="PB64" s="1"/>
      <c r="PH64" s="2"/>
      <c r="PI64" s="6"/>
      <c r="PJ64" s="1"/>
      <c r="PP64" s="2"/>
      <c r="PQ64" s="6"/>
      <c r="PR64" s="1"/>
      <c r="PX64" s="2"/>
      <c r="PY64" s="6"/>
      <c r="PZ64" s="1"/>
      <c r="QF64" s="2"/>
      <c r="QG64" s="6"/>
      <c r="QH64" s="1"/>
      <c r="QN64" s="2"/>
      <c r="QO64" s="6"/>
      <c r="QP64" s="1"/>
      <c r="QV64" s="2"/>
      <c r="QW64" s="6"/>
      <c r="QX64" s="1"/>
      <c r="RD64" s="2"/>
      <c r="RE64" s="6"/>
      <c r="RF64" s="1"/>
      <c r="RL64" s="2"/>
      <c r="RM64" s="6"/>
      <c r="RN64" s="1"/>
      <c r="RT64" s="2"/>
      <c r="RU64" s="6"/>
      <c r="RV64" s="1"/>
      <c r="SB64" s="2"/>
      <c r="SC64" s="6"/>
      <c r="SD64" s="1"/>
      <c r="SJ64" s="2"/>
      <c r="SK64" s="6"/>
      <c r="SL64" s="1"/>
      <c r="SR64" s="2"/>
      <c r="SS64" s="6"/>
      <c r="ST64" s="1"/>
      <c r="SZ64" s="2"/>
      <c r="TA64" s="6"/>
      <c r="TB64" s="1"/>
      <c r="TH64" s="2"/>
      <c r="TI64" s="6"/>
      <c r="TJ64" s="1"/>
      <c r="TP64" s="2"/>
      <c r="TQ64" s="6"/>
      <c r="TR64" s="1"/>
      <c r="TX64" s="2"/>
      <c r="TY64" s="6"/>
      <c r="TZ64" s="1"/>
      <c r="UF64" s="2"/>
      <c r="UG64" s="6"/>
      <c r="UH64" s="1"/>
      <c r="UN64" s="2"/>
      <c r="UO64" s="6"/>
      <c r="UP64" s="1"/>
      <c r="UV64" s="2"/>
      <c r="UW64" s="6"/>
      <c r="UX64" s="1"/>
      <c r="VD64" s="2"/>
      <c r="VE64" s="6"/>
      <c r="VF64" s="1"/>
      <c r="VL64" s="2"/>
      <c r="VM64" s="6"/>
      <c r="VN64" s="1"/>
      <c r="VT64" s="2"/>
      <c r="VU64" s="6"/>
      <c r="VV64" s="1"/>
      <c r="WB64" s="2"/>
      <c r="WC64" s="6"/>
      <c r="WD64" s="1"/>
      <c r="WJ64" s="2"/>
      <c r="WK64" s="6"/>
      <c r="WL64" s="1"/>
      <c r="WR64" s="2"/>
      <c r="WS64" s="6"/>
      <c r="WT64" s="1"/>
      <c r="WZ64" s="2"/>
      <c r="XA64" s="6"/>
      <c r="XB64" s="1"/>
      <c r="XH64" s="2"/>
      <c r="XI64" s="6"/>
      <c r="XJ64" s="1"/>
      <c r="XP64" s="2"/>
      <c r="XQ64" s="6"/>
      <c r="XR64" s="1"/>
      <c r="XX64" s="2"/>
      <c r="XY64" s="6"/>
      <c r="XZ64" s="1"/>
      <c r="YF64" s="2"/>
      <c r="YG64" s="6"/>
      <c r="YH64" s="1"/>
      <c r="YN64" s="2"/>
      <c r="YO64" s="6"/>
      <c r="YP64" s="1"/>
      <c r="YV64" s="2"/>
      <c r="YW64" s="6"/>
      <c r="YX64" s="1"/>
      <c r="ZD64" s="2"/>
      <c r="ZE64" s="6"/>
      <c r="ZF64" s="1"/>
      <c r="ZL64" s="2"/>
      <c r="ZM64" s="6"/>
      <c r="ZN64" s="1"/>
      <c r="ZT64" s="2"/>
      <c r="ZU64" s="6"/>
      <c r="ZV64" s="1"/>
      <c r="AAB64" s="2"/>
      <c r="AAC64" s="6"/>
      <c r="AAD64" s="1"/>
      <c r="AAJ64" s="2"/>
      <c r="AAK64" s="6"/>
      <c r="AAL64" s="1"/>
      <c r="AAR64" s="2"/>
      <c r="AAS64" s="6"/>
      <c r="AAT64" s="1"/>
      <c r="AAZ64" s="2"/>
      <c r="ABA64" s="6"/>
      <c r="ABB64" s="1"/>
      <c r="ABH64" s="2"/>
      <c r="ABI64" s="6"/>
      <c r="ABJ64" s="1"/>
      <c r="ABP64" s="2"/>
      <c r="ABQ64" s="6"/>
      <c r="ABR64" s="1"/>
      <c r="ABX64" s="2"/>
      <c r="ABY64" s="6"/>
      <c r="ABZ64" s="1"/>
      <c r="ACF64" s="2"/>
      <c r="ACG64" s="6"/>
      <c r="ACH64" s="1"/>
      <c r="ACN64" s="2"/>
      <c r="ACO64" s="6"/>
      <c r="ACP64" s="1"/>
      <c r="ACV64" s="2"/>
      <c r="ACW64" s="6"/>
      <c r="ACX64" s="1"/>
      <c r="ADD64" s="2"/>
      <c r="ADE64" s="6"/>
      <c r="ADF64" s="1"/>
      <c r="ADL64" s="2"/>
      <c r="ADM64" s="6"/>
      <c r="ADN64" s="1"/>
      <c r="ADT64" s="2"/>
      <c r="ADU64" s="6"/>
      <c r="ADV64" s="1"/>
      <c r="AEB64" s="2"/>
      <c r="AEC64" s="6"/>
      <c r="AED64" s="1"/>
      <c r="AEJ64" s="2"/>
      <c r="AEK64" s="6"/>
      <c r="AEL64" s="1"/>
      <c r="AER64" s="2"/>
      <c r="AES64" s="6"/>
      <c r="AET64" s="1"/>
      <c r="AEZ64" s="2"/>
      <c r="AFA64" s="6"/>
      <c r="AFB64" s="1"/>
      <c r="AFH64" s="2"/>
      <c r="AFI64" s="6"/>
      <c r="AFJ64" s="1"/>
      <c r="AFP64" s="2"/>
      <c r="AFQ64" s="6"/>
      <c r="AFR64" s="1"/>
      <c r="AFX64" s="2"/>
      <c r="AFY64" s="6"/>
      <c r="AFZ64" s="1"/>
      <c r="AGF64" s="2"/>
      <c r="AGG64" s="6"/>
      <c r="AGH64" s="1"/>
      <c r="AGN64" s="2"/>
      <c r="AGO64" s="6"/>
      <c r="AGP64" s="1"/>
      <c r="AGV64" s="2"/>
      <c r="AGW64" s="6"/>
      <c r="AGX64" s="1"/>
      <c r="AHD64" s="2"/>
      <c r="AHE64" s="6"/>
      <c r="AHF64" s="1"/>
      <c r="AHL64" s="2"/>
      <c r="AHM64" s="6"/>
      <c r="AHN64" s="1"/>
      <c r="AHT64" s="2"/>
      <c r="AHU64" s="6"/>
      <c r="AHV64" s="1"/>
      <c r="AIB64" s="2"/>
      <c r="AIC64" s="6"/>
      <c r="AID64" s="1"/>
      <c r="AIJ64" s="2"/>
      <c r="AIK64" s="6"/>
      <c r="AIL64" s="1"/>
      <c r="AIR64" s="2"/>
      <c r="AIS64" s="6"/>
      <c r="AIT64" s="1"/>
      <c r="AIZ64" s="2"/>
      <c r="AJA64" s="6"/>
      <c r="AJB64" s="1"/>
      <c r="AJH64" s="2"/>
      <c r="AJI64" s="6"/>
      <c r="AJJ64" s="1"/>
      <c r="AJP64" s="2"/>
      <c r="AJQ64" s="6"/>
      <c r="AJR64" s="1"/>
      <c r="AJX64" s="2"/>
      <c r="AJY64" s="6"/>
      <c r="AJZ64" s="1"/>
      <c r="AKF64" s="2"/>
      <c r="AKG64" s="6"/>
      <c r="AKH64" s="1"/>
      <c r="AKN64" s="2"/>
      <c r="AKO64" s="6"/>
      <c r="AKP64" s="1"/>
      <c r="AKV64" s="2"/>
      <c r="AKW64" s="6"/>
      <c r="AKX64" s="1"/>
      <c r="ALD64" s="2"/>
      <c r="ALE64" s="6"/>
      <c r="ALF64" s="1"/>
      <c r="ALL64" s="2"/>
      <c r="ALM64" s="6"/>
      <c r="ALN64" s="1"/>
      <c r="ALT64" s="2"/>
      <c r="ALU64" s="6"/>
      <c r="ALV64" s="1"/>
      <c r="AMB64" s="2"/>
      <c r="AMC64" s="6"/>
      <c r="AMD64" s="1"/>
      <c r="AMJ64" s="2"/>
      <c r="AMK64" s="6"/>
      <c r="AML64" s="1"/>
      <c r="AMR64" s="2"/>
      <c r="AMS64" s="6"/>
      <c r="AMT64" s="1"/>
      <c r="AMZ64" s="2"/>
      <c r="ANA64" s="6"/>
      <c r="ANB64" s="1"/>
      <c r="ANH64" s="2"/>
      <c r="ANI64" s="6"/>
      <c r="ANJ64" s="1"/>
      <c r="ANP64" s="2"/>
      <c r="ANQ64" s="6"/>
      <c r="ANR64" s="1"/>
      <c r="ANX64" s="2"/>
      <c r="ANY64" s="6"/>
      <c r="ANZ64" s="1"/>
      <c r="AOF64" s="2"/>
      <c r="AOG64" s="6"/>
      <c r="AOH64" s="1"/>
      <c r="AON64" s="2"/>
      <c r="AOO64" s="6"/>
      <c r="AOP64" s="1"/>
      <c r="AOV64" s="2"/>
      <c r="AOW64" s="6"/>
      <c r="AOX64" s="1"/>
      <c r="APD64" s="2"/>
      <c r="APE64" s="6"/>
      <c r="APF64" s="1"/>
      <c r="APL64" s="2"/>
      <c r="APM64" s="6"/>
      <c r="APN64" s="1"/>
      <c r="APT64" s="2"/>
      <c r="APU64" s="6"/>
      <c r="APV64" s="1"/>
      <c r="AQB64" s="2"/>
      <c r="AQC64" s="6"/>
      <c r="AQD64" s="1"/>
      <c r="AQJ64" s="2"/>
      <c r="AQK64" s="6"/>
      <c r="AQL64" s="1"/>
      <c r="AQR64" s="2"/>
      <c r="AQS64" s="6"/>
      <c r="AQT64" s="1"/>
      <c r="AQZ64" s="2"/>
      <c r="ARA64" s="6"/>
      <c r="ARB64" s="1"/>
      <c r="ARH64" s="2"/>
      <c r="ARI64" s="6"/>
      <c r="ARJ64" s="1"/>
      <c r="ARP64" s="2"/>
      <c r="ARQ64" s="6"/>
      <c r="ARR64" s="1"/>
      <c r="ARX64" s="2"/>
      <c r="ARY64" s="6"/>
      <c r="ARZ64" s="1"/>
      <c r="ASF64" s="2"/>
      <c r="ASG64" s="6"/>
      <c r="ASH64" s="1"/>
      <c r="ASN64" s="2"/>
      <c r="ASO64" s="6"/>
      <c r="ASP64" s="1"/>
      <c r="ASV64" s="2"/>
      <c r="ASW64" s="6"/>
      <c r="ASX64" s="1"/>
      <c r="ATD64" s="2"/>
      <c r="ATE64" s="6"/>
      <c r="ATF64" s="1"/>
      <c r="ATL64" s="2"/>
      <c r="ATM64" s="6"/>
      <c r="ATN64" s="1"/>
      <c r="ATT64" s="2"/>
      <c r="ATU64" s="6"/>
      <c r="ATV64" s="1"/>
      <c r="AUB64" s="2"/>
      <c r="AUC64" s="6"/>
      <c r="AUD64" s="1"/>
      <c r="AUJ64" s="2"/>
      <c r="AUK64" s="6"/>
      <c r="AUL64" s="1"/>
      <c r="AUR64" s="2"/>
      <c r="AUS64" s="6"/>
      <c r="AUT64" s="1"/>
      <c r="AUZ64" s="2"/>
      <c r="AVA64" s="6"/>
      <c r="AVB64" s="1"/>
      <c r="AVH64" s="2"/>
      <c r="AVI64" s="6"/>
      <c r="AVJ64" s="1"/>
      <c r="AVP64" s="2"/>
      <c r="AVQ64" s="6"/>
      <c r="AVR64" s="1"/>
      <c r="AVX64" s="2"/>
      <c r="AVY64" s="6"/>
      <c r="AVZ64" s="1"/>
      <c r="AWF64" s="2"/>
      <c r="AWG64" s="6"/>
      <c r="AWH64" s="1"/>
      <c r="AWN64" s="2"/>
      <c r="AWO64" s="6"/>
      <c r="AWP64" s="1"/>
      <c r="AWV64" s="2"/>
      <c r="AWW64" s="6"/>
      <c r="AWX64" s="1"/>
      <c r="AXD64" s="2"/>
      <c r="AXE64" s="6"/>
      <c r="AXF64" s="1"/>
      <c r="AXL64" s="2"/>
      <c r="AXM64" s="6"/>
      <c r="AXN64" s="1"/>
      <c r="AXT64" s="2"/>
      <c r="AXU64" s="6"/>
      <c r="AXV64" s="1"/>
      <c r="AYB64" s="2"/>
      <c r="AYC64" s="6"/>
      <c r="AYD64" s="1"/>
      <c r="AYJ64" s="2"/>
      <c r="AYK64" s="6"/>
      <c r="AYL64" s="1"/>
      <c r="AYR64" s="2"/>
      <c r="AYS64" s="6"/>
      <c r="AYT64" s="1"/>
      <c r="AYZ64" s="2"/>
      <c r="AZA64" s="6"/>
      <c r="AZB64" s="1"/>
      <c r="AZH64" s="2"/>
      <c r="AZI64" s="6"/>
      <c r="AZJ64" s="1"/>
      <c r="AZP64" s="2"/>
      <c r="AZQ64" s="6"/>
      <c r="AZR64" s="1"/>
      <c r="AZX64" s="2"/>
      <c r="AZY64" s="6"/>
      <c r="AZZ64" s="1"/>
      <c r="BAF64" s="2"/>
      <c r="BAG64" s="6"/>
      <c r="BAH64" s="1"/>
      <c r="BAN64" s="2"/>
      <c r="BAO64" s="6"/>
      <c r="BAP64" s="1"/>
      <c r="BAV64" s="2"/>
      <c r="BAW64" s="6"/>
      <c r="BAX64" s="1"/>
      <c r="BBD64" s="2"/>
      <c r="BBE64" s="6"/>
      <c r="BBF64" s="1"/>
      <c r="BBL64" s="2"/>
      <c r="BBM64" s="6"/>
      <c r="BBN64" s="1"/>
      <c r="BBT64" s="2"/>
      <c r="BBU64" s="6"/>
      <c r="BBV64" s="1"/>
      <c r="BCB64" s="2"/>
      <c r="BCC64" s="6"/>
      <c r="BCD64" s="1"/>
      <c r="BCJ64" s="2"/>
      <c r="BCK64" s="6"/>
      <c r="BCL64" s="1"/>
      <c r="BCR64" s="2"/>
      <c r="BCS64" s="6"/>
      <c r="BCT64" s="1"/>
      <c r="BCZ64" s="2"/>
      <c r="BDA64" s="6"/>
      <c r="BDB64" s="1"/>
      <c r="BDH64" s="2"/>
      <c r="BDI64" s="6"/>
      <c r="BDJ64" s="1"/>
      <c r="BDP64" s="2"/>
      <c r="BDQ64" s="6"/>
      <c r="BDR64" s="1"/>
      <c r="BDX64" s="2"/>
      <c r="BDY64" s="6"/>
      <c r="BDZ64" s="1"/>
      <c r="BEF64" s="2"/>
      <c r="BEG64" s="6"/>
      <c r="BEH64" s="1"/>
      <c r="BEN64" s="2"/>
      <c r="BEO64" s="6"/>
      <c r="BEP64" s="1"/>
      <c r="BEV64" s="2"/>
      <c r="BEW64" s="6"/>
      <c r="BEX64" s="1"/>
      <c r="BFD64" s="2"/>
      <c r="BFE64" s="6"/>
      <c r="BFF64" s="1"/>
      <c r="BFL64" s="2"/>
      <c r="BFM64" s="6"/>
      <c r="BFN64" s="1"/>
      <c r="BFT64" s="2"/>
      <c r="BFU64" s="6"/>
      <c r="BFV64" s="1"/>
      <c r="BGB64" s="2"/>
      <c r="BGC64" s="6"/>
      <c r="BGD64" s="1"/>
      <c r="BGJ64" s="2"/>
      <c r="BGK64" s="6"/>
      <c r="BGL64" s="1"/>
      <c r="BGR64" s="2"/>
      <c r="BGS64" s="6"/>
      <c r="BGT64" s="1"/>
      <c r="BGZ64" s="2"/>
      <c r="BHA64" s="6"/>
      <c r="BHB64" s="1"/>
      <c r="BHH64" s="2"/>
      <c r="BHI64" s="6"/>
      <c r="BHJ64" s="1"/>
      <c r="BHP64" s="2"/>
      <c r="BHQ64" s="6"/>
      <c r="BHR64" s="1"/>
      <c r="BHX64" s="2"/>
      <c r="BHY64" s="6"/>
      <c r="BHZ64" s="1"/>
      <c r="BIF64" s="2"/>
      <c r="BIG64" s="6"/>
      <c r="BIH64" s="1"/>
      <c r="BIN64" s="2"/>
      <c r="BIO64" s="6"/>
      <c r="BIP64" s="1"/>
      <c r="BIV64" s="2"/>
      <c r="BIW64" s="6"/>
      <c r="BIX64" s="1"/>
      <c r="BJD64" s="2"/>
      <c r="BJE64" s="6"/>
      <c r="BJF64" s="1"/>
      <c r="BJL64" s="2"/>
      <c r="BJM64" s="6"/>
      <c r="BJN64" s="1"/>
      <c r="BJT64" s="2"/>
      <c r="BJU64" s="6"/>
      <c r="BJV64" s="1"/>
      <c r="BKB64" s="2"/>
      <c r="BKC64" s="6"/>
      <c r="BKD64" s="1"/>
      <c r="BKJ64" s="2"/>
      <c r="BKK64" s="6"/>
      <c r="BKL64" s="1"/>
      <c r="BKR64" s="2"/>
      <c r="BKS64" s="6"/>
      <c r="BKT64" s="1"/>
      <c r="BKZ64" s="2"/>
      <c r="BLA64" s="6"/>
      <c r="BLB64" s="1"/>
      <c r="BLH64" s="2"/>
      <c r="BLI64" s="6"/>
      <c r="BLJ64" s="1"/>
      <c r="BLP64" s="2"/>
      <c r="BLQ64" s="6"/>
      <c r="BLR64" s="1"/>
      <c r="BLX64" s="2"/>
      <c r="BLY64" s="6"/>
      <c r="BLZ64" s="1"/>
      <c r="BMF64" s="2"/>
      <c r="BMG64" s="6"/>
      <c r="BMH64" s="1"/>
      <c r="BMN64" s="2"/>
      <c r="BMO64" s="6"/>
      <c r="BMP64" s="1"/>
      <c r="BMV64" s="2"/>
      <c r="BMW64" s="6"/>
      <c r="BMX64" s="1"/>
      <c r="BND64" s="2"/>
      <c r="BNE64" s="6"/>
      <c r="BNF64" s="1"/>
      <c r="BNL64" s="2"/>
      <c r="BNM64" s="6"/>
      <c r="BNN64" s="1"/>
      <c r="BNT64" s="2"/>
      <c r="BNU64" s="6"/>
      <c r="BNV64" s="1"/>
      <c r="BOB64" s="2"/>
      <c r="BOC64" s="6"/>
      <c r="BOD64" s="1"/>
      <c r="BOJ64" s="2"/>
      <c r="BOK64" s="6"/>
      <c r="BOL64" s="1"/>
      <c r="BOR64" s="2"/>
      <c r="BOS64" s="6"/>
      <c r="BOT64" s="1"/>
      <c r="BOZ64" s="2"/>
      <c r="BPA64" s="6"/>
      <c r="BPB64" s="1"/>
      <c r="BPH64" s="2"/>
      <c r="BPI64" s="6"/>
      <c r="BPJ64" s="1"/>
      <c r="BPP64" s="2"/>
      <c r="BPQ64" s="6"/>
      <c r="BPR64" s="1"/>
      <c r="BPX64" s="2"/>
      <c r="BPY64" s="6"/>
      <c r="BPZ64" s="1"/>
      <c r="BQF64" s="2"/>
      <c r="BQG64" s="6"/>
      <c r="BQH64" s="1"/>
      <c r="BQN64" s="2"/>
      <c r="BQO64" s="6"/>
      <c r="BQP64" s="1"/>
      <c r="BQV64" s="2"/>
      <c r="BQW64" s="6"/>
      <c r="BQX64" s="1"/>
      <c r="BRD64" s="2"/>
      <c r="BRE64" s="6"/>
      <c r="BRF64" s="1"/>
      <c r="BRL64" s="2"/>
      <c r="BRM64" s="6"/>
      <c r="BRN64" s="1"/>
      <c r="BRT64" s="2"/>
      <c r="BRU64" s="6"/>
      <c r="BRV64" s="1"/>
      <c r="BSB64" s="2"/>
      <c r="BSC64" s="6"/>
      <c r="BSD64" s="1"/>
      <c r="BSJ64" s="2"/>
      <c r="BSK64" s="6"/>
      <c r="BSL64" s="1"/>
      <c r="BSR64" s="2"/>
      <c r="BSS64" s="6"/>
      <c r="BST64" s="1"/>
      <c r="BSZ64" s="2"/>
      <c r="BTA64" s="6"/>
      <c r="BTB64" s="1"/>
      <c r="BTH64" s="2"/>
      <c r="BTI64" s="6"/>
      <c r="BTJ64" s="1"/>
      <c r="BTP64" s="2"/>
      <c r="BTQ64" s="6"/>
      <c r="BTR64" s="1"/>
      <c r="BTX64" s="2"/>
      <c r="BTY64" s="6"/>
      <c r="BTZ64" s="1"/>
      <c r="BUF64" s="2"/>
      <c r="BUG64" s="6"/>
      <c r="BUH64" s="1"/>
      <c r="BUN64" s="2"/>
      <c r="BUO64" s="6"/>
      <c r="BUP64" s="1"/>
      <c r="BUV64" s="2"/>
      <c r="BUW64" s="6"/>
      <c r="BUX64" s="1"/>
      <c r="BVD64" s="2"/>
      <c r="BVE64" s="6"/>
      <c r="BVF64" s="1"/>
      <c r="BVL64" s="2"/>
      <c r="BVM64" s="6"/>
      <c r="BVN64" s="1"/>
      <c r="BVT64" s="2"/>
      <c r="BVU64" s="6"/>
      <c r="BVV64" s="1"/>
      <c r="BWB64" s="2"/>
      <c r="BWC64" s="6"/>
      <c r="BWD64" s="1"/>
      <c r="BWJ64" s="2"/>
      <c r="BWK64" s="6"/>
      <c r="BWL64" s="1"/>
      <c r="BWR64" s="2"/>
      <c r="BWS64" s="6"/>
      <c r="BWT64" s="1"/>
      <c r="BWZ64" s="2"/>
      <c r="BXA64" s="6"/>
      <c r="BXB64" s="1"/>
      <c r="BXH64" s="2"/>
      <c r="BXI64" s="6"/>
      <c r="BXJ64" s="1"/>
      <c r="BXP64" s="2"/>
      <c r="BXQ64" s="6"/>
      <c r="BXR64" s="1"/>
      <c r="BXX64" s="2"/>
      <c r="BXY64" s="6"/>
      <c r="BXZ64" s="1"/>
      <c r="BYF64" s="2"/>
      <c r="BYG64" s="6"/>
      <c r="BYH64" s="1"/>
      <c r="BYN64" s="2"/>
      <c r="BYO64" s="6"/>
      <c r="BYP64" s="1"/>
      <c r="BYV64" s="2"/>
      <c r="BYW64" s="6"/>
      <c r="BYX64" s="1"/>
      <c r="BZD64" s="2"/>
      <c r="BZE64" s="6"/>
      <c r="BZF64" s="1"/>
      <c r="BZL64" s="2"/>
      <c r="BZM64" s="6"/>
      <c r="BZN64" s="1"/>
      <c r="BZT64" s="2"/>
      <c r="BZU64" s="6"/>
      <c r="BZV64" s="1"/>
      <c r="CAB64" s="2"/>
      <c r="CAC64" s="6"/>
      <c r="CAD64" s="1"/>
      <c r="CAJ64" s="2"/>
      <c r="CAK64" s="6"/>
      <c r="CAL64" s="1"/>
      <c r="CAR64" s="2"/>
      <c r="CAS64" s="6"/>
      <c r="CAT64" s="1"/>
      <c r="CAZ64" s="2"/>
      <c r="CBA64" s="6"/>
      <c r="CBB64" s="1"/>
      <c r="CBH64" s="2"/>
      <c r="CBI64" s="6"/>
      <c r="CBJ64" s="1"/>
      <c r="CBP64" s="2"/>
      <c r="CBQ64" s="6"/>
      <c r="CBR64" s="1"/>
      <c r="CBX64" s="2"/>
      <c r="CBY64" s="6"/>
      <c r="CBZ64" s="1"/>
      <c r="CCF64" s="2"/>
      <c r="CCG64" s="6"/>
      <c r="CCH64" s="1"/>
      <c r="CCN64" s="2"/>
      <c r="CCO64" s="6"/>
      <c r="CCP64" s="1"/>
      <c r="CCV64" s="2"/>
      <c r="CCW64" s="6"/>
      <c r="CCX64" s="1"/>
      <c r="CDD64" s="2"/>
      <c r="CDE64" s="6"/>
      <c r="CDF64" s="1"/>
      <c r="CDL64" s="2"/>
      <c r="CDM64" s="6"/>
      <c r="CDN64" s="1"/>
      <c r="CDT64" s="2"/>
      <c r="CDU64" s="6"/>
      <c r="CDV64" s="1"/>
      <c r="CEB64" s="2"/>
      <c r="CEC64" s="6"/>
      <c r="CED64" s="1"/>
      <c r="CEJ64" s="2"/>
      <c r="CEK64" s="6"/>
      <c r="CEL64" s="1"/>
      <c r="CER64" s="2"/>
      <c r="CES64" s="6"/>
      <c r="CET64" s="1"/>
      <c r="CEZ64" s="2"/>
      <c r="CFA64" s="6"/>
      <c r="CFB64" s="1"/>
      <c r="CFH64" s="2"/>
      <c r="CFI64" s="6"/>
      <c r="CFJ64" s="1"/>
      <c r="CFP64" s="2"/>
      <c r="CFQ64" s="6"/>
      <c r="CFR64" s="1"/>
      <c r="CFX64" s="2"/>
      <c r="CFY64" s="6"/>
      <c r="CFZ64" s="1"/>
      <c r="CGF64" s="2"/>
      <c r="CGG64" s="6"/>
      <c r="CGH64" s="1"/>
      <c r="CGN64" s="2"/>
      <c r="CGO64" s="6"/>
      <c r="CGP64" s="1"/>
      <c r="CGV64" s="2"/>
      <c r="CGW64" s="6"/>
      <c r="CGX64" s="1"/>
      <c r="CHD64" s="2"/>
      <c r="CHE64" s="6"/>
      <c r="CHF64" s="1"/>
      <c r="CHL64" s="2"/>
      <c r="CHM64" s="6"/>
      <c r="CHN64" s="1"/>
      <c r="CHT64" s="2"/>
      <c r="CHU64" s="6"/>
      <c r="CHV64" s="1"/>
      <c r="CIB64" s="2"/>
      <c r="CIC64" s="6"/>
      <c r="CID64" s="1"/>
      <c r="CIJ64" s="2"/>
      <c r="CIK64" s="6"/>
      <c r="CIL64" s="1"/>
      <c r="CIR64" s="2"/>
      <c r="CIS64" s="6"/>
      <c r="CIT64" s="1"/>
      <c r="CIZ64" s="2"/>
      <c r="CJA64" s="6"/>
      <c r="CJB64" s="1"/>
      <c r="CJH64" s="2"/>
      <c r="CJI64" s="6"/>
      <c r="CJJ64" s="1"/>
      <c r="CJP64" s="2"/>
      <c r="CJQ64" s="6"/>
      <c r="CJR64" s="1"/>
      <c r="CJX64" s="2"/>
      <c r="CJY64" s="6"/>
      <c r="CJZ64" s="1"/>
      <c r="CKF64" s="2"/>
      <c r="CKG64" s="6"/>
      <c r="CKH64" s="1"/>
      <c r="CKN64" s="2"/>
      <c r="CKO64" s="6"/>
      <c r="CKP64" s="1"/>
      <c r="CKV64" s="2"/>
      <c r="CKW64" s="6"/>
      <c r="CKX64" s="1"/>
      <c r="CLD64" s="2"/>
      <c r="CLE64" s="6"/>
      <c r="CLF64" s="1"/>
      <c r="CLL64" s="2"/>
      <c r="CLM64" s="6"/>
      <c r="CLN64" s="1"/>
      <c r="CLT64" s="2"/>
      <c r="CLU64" s="6"/>
      <c r="CLV64" s="1"/>
      <c r="CMB64" s="2"/>
      <c r="CMC64" s="6"/>
      <c r="CMD64" s="1"/>
      <c r="CMJ64" s="2"/>
      <c r="CMK64" s="6"/>
      <c r="CML64" s="1"/>
      <c r="CMR64" s="2"/>
      <c r="CMS64" s="6"/>
      <c r="CMT64" s="1"/>
      <c r="CMZ64" s="2"/>
      <c r="CNA64" s="6"/>
      <c r="CNB64" s="1"/>
      <c r="CNH64" s="2"/>
      <c r="CNI64" s="6"/>
      <c r="CNJ64" s="1"/>
      <c r="CNP64" s="2"/>
      <c r="CNQ64" s="6"/>
      <c r="CNR64" s="1"/>
      <c r="CNX64" s="2"/>
      <c r="CNY64" s="6"/>
      <c r="CNZ64" s="1"/>
      <c r="COF64" s="2"/>
      <c r="COG64" s="6"/>
      <c r="COH64" s="1"/>
      <c r="CON64" s="2"/>
      <c r="COO64" s="6"/>
      <c r="COP64" s="1"/>
      <c r="COV64" s="2"/>
      <c r="COW64" s="6"/>
      <c r="COX64" s="1"/>
      <c r="CPD64" s="2"/>
      <c r="CPE64" s="6"/>
      <c r="CPF64" s="1"/>
      <c r="CPL64" s="2"/>
      <c r="CPM64" s="6"/>
      <c r="CPN64" s="1"/>
      <c r="CPT64" s="2"/>
      <c r="CPU64" s="6"/>
      <c r="CPV64" s="1"/>
      <c r="CQB64" s="2"/>
      <c r="CQC64" s="6"/>
      <c r="CQD64" s="1"/>
      <c r="CQJ64" s="2"/>
      <c r="CQK64" s="6"/>
      <c r="CQL64" s="1"/>
      <c r="CQR64" s="2"/>
      <c r="CQS64" s="6"/>
      <c r="CQT64" s="1"/>
      <c r="CQZ64" s="2"/>
      <c r="CRA64" s="6"/>
      <c r="CRB64" s="1"/>
      <c r="CRH64" s="2"/>
      <c r="CRI64" s="6"/>
      <c r="CRJ64" s="1"/>
      <c r="CRP64" s="2"/>
      <c r="CRQ64" s="6"/>
      <c r="CRR64" s="1"/>
      <c r="CRX64" s="2"/>
      <c r="CRY64" s="6"/>
      <c r="CRZ64" s="1"/>
      <c r="CSF64" s="2"/>
      <c r="CSG64" s="6"/>
      <c r="CSH64" s="1"/>
      <c r="CSN64" s="2"/>
      <c r="CSO64" s="6"/>
      <c r="CSP64" s="1"/>
      <c r="CSV64" s="2"/>
      <c r="CSW64" s="6"/>
      <c r="CSX64" s="1"/>
      <c r="CTD64" s="2"/>
      <c r="CTE64" s="6"/>
      <c r="CTF64" s="1"/>
      <c r="CTL64" s="2"/>
      <c r="CTM64" s="6"/>
      <c r="CTN64" s="1"/>
      <c r="CTT64" s="2"/>
      <c r="CTU64" s="6"/>
      <c r="CTV64" s="1"/>
      <c r="CUB64" s="2"/>
      <c r="CUC64" s="6"/>
      <c r="CUD64" s="1"/>
      <c r="CUJ64" s="2"/>
      <c r="CUK64" s="6"/>
      <c r="CUL64" s="1"/>
      <c r="CUR64" s="2"/>
      <c r="CUS64" s="6"/>
      <c r="CUT64" s="1"/>
      <c r="CUZ64" s="2"/>
      <c r="CVA64" s="6"/>
      <c r="CVB64" s="1"/>
      <c r="CVH64" s="2"/>
      <c r="CVI64" s="6"/>
      <c r="CVJ64" s="1"/>
      <c r="CVP64" s="2"/>
      <c r="CVQ64" s="6"/>
      <c r="CVR64" s="1"/>
      <c r="CVX64" s="2"/>
      <c r="CVY64" s="6"/>
      <c r="CVZ64" s="1"/>
      <c r="CWF64" s="2"/>
      <c r="CWG64" s="6"/>
      <c r="CWH64" s="1"/>
      <c r="CWN64" s="2"/>
      <c r="CWO64" s="6"/>
      <c r="CWP64" s="1"/>
      <c r="CWV64" s="2"/>
      <c r="CWW64" s="6"/>
      <c r="CWX64" s="1"/>
      <c r="CXD64" s="2"/>
      <c r="CXE64" s="6"/>
      <c r="CXF64" s="1"/>
      <c r="CXL64" s="2"/>
      <c r="CXM64" s="6"/>
      <c r="CXN64" s="1"/>
      <c r="CXT64" s="2"/>
      <c r="CXU64" s="6"/>
      <c r="CXV64" s="1"/>
      <c r="CYB64" s="2"/>
      <c r="CYC64" s="6"/>
      <c r="CYD64" s="1"/>
      <c r="CYJ64" s="2"/>
      <c r="CYK64" s="6"/>
      <c r="CYL64" s="1"/>
      <c r="CYR64" s="2"/>
      <c r="CYS64" s="6"/>
      <c r="CYT64" s="1"/>
      <c r="CYZ64" s="2"/>
      <c r="CZA64" s="6"/>
      <c r="CZB64" s="1"/>
      <c r="CZH64" s="2"/>
      <c r="CZI64" s="6"/>
      <c r="CZJ64" s="1"/>
      <c r="CZP64" s="2"/>
      <c r="CZQ64" s="6"/>
      <c r="CZR64" s="1"/>
      <c r="CZX64" s="2"/>
      <c r="CZY64" s="6"/>
      <c r="CZZ64" s="1"/>
      <c r="DAF64" s="2"/>
      <c r="DAG64" s="6"/>
      <c r="DAH64" s="1"/>
      <c r="DAN64" s="2"/>
      <c r="DAO64" s="6"/>
      <c r="DAP64" s="1"/>
      <c r="DAV64" s="2"/>
      <c r="DAW64" s="6"/>
      <c r="DAX64" s="1"/>
      <c r="DBD64" s="2"/>
      <c r="DBE64" s="6"/>
      <c r="DBF64" s="1"/>
      <c r="DBL64" s="2"/>
      <c r="DBM64" s="6"/>
      <c r="DBN64" s="1"/>
      <c r="DBT64" s="2"/>
      <c r="DBU64" s="6"/>
      <c r="DBV64" s="1"/>
      <c r="DCB64" s="2"/>
      <c r="DCC64" s="6"/>
      <c r="DCD64" s="1"/>
      <c r="DCJ64" s="2"/>
      <c r="DCK64" s="6"/>
      <c r="DCL64" s="1"/>
      <c r="DCR64" s="2"/>
      <c r="DCS64" s="6"/>
      <c r="DCT64" s="1"/>
      <c r="DCZ64" s="2"/>
      <c r="DDA64" s="6"/>
      <c r="DDB64" s="1"/>
      <c r="DDH64" s="2"/>
      <c r="DDI64" s="6"/>
      <c r="DDJ64" s="1"/>
      <c r="DDP64" s="2"/>
      <c r="DDQ64" s="6"/>
      <c r="DDR64" s="1"/>
      <c r="DDX64" s="2"/>
      <c r="DDY64" s="6"/>
      <c r="DDZ64" s="1"/>
      <c r="DEF64" s="2"/>
      <c r="DEG64" s="6"/>
      <c r="DEH64" s="1"/>
      <c r="DEN64" s="2"/>
      <c r="DEO64" s="6"/>
      <c r="DEP64" s="1"/>
      <c r="DEV64" s="2"/>
      <c r="DEW64" s="6"/>
      <c r="DEX64" s="1"/>
      <c r="DFD64" s="2"/>
      <c r="DFE64" s="6"/>
      <c r="DFF64" s="1"/>
      <c r="DFL64" s="2"/>
      <c r="DFM64" s="6"/>
      <c r="DFN64" s="1"/>
      <c r="DFT64" s="2"/>
      <c r="DFU64" s="6"/>
      <c r="DFV64" s="1"/>
      <c r="DGB64" s="2"/>
      <c r="DGC64" s="6"/>
      <c r="DGD64" s="1"/>
      <c r="DGJ64" s="2"/>
      <c r="DGK64" s="6"/>
      <c r="DGL64" s="1"/>
      <c r="DGR64" s="2"/>
      <c r="DGS64" s="6"/>
      <c r="DGT64" s="1"/>
      <c r="DGZ64" s="2"/>
      <c r="DHA64" s="6"/>
      <c r="DHB64" s="1"/>
      <c r="DHH64" s="2"/>
      <c r="DHI64" s="6"/>
      <c r="DHJ64" s="1"/>
      <c r="DHP64" s="2"/>
      <c r="DHQ64" s="6"/>
      <c r="DHR64" s="1"/>
      <c r="DHX64" s="2"/>
      <c r="DHY64" s="6"/>
      <c r="DHZ64" s="1"/>
      <c r="DIF64" s="2"/>
      <c r="DIG64" s="6"/>
      <c r="DIH64" s="1"/>
      <c r="DIN64" s="2"/>
      <c r="DIO64" s="6"/>
      <c r="DIP64" s="1"/>
      <c r="DIV64" s="2"/>
      <c r="DIW64" s="6"/>
      <c r="DIX64" s="1"/>
      <c r="DJD64" s="2"/>
      <c r="DJE64" s="6"/>
      <c r="DJF64" s="1"/>
      <c r="DJL64" s="2"/>
      <c r="DJM64" s="6"/>
      <c r="DJN64" s="1"/>
      <c r="DJT64" s="2"/>
      <c r="DJU64" s="6"/>
      <c r="DJV64" s="1"/>
      <c r="DKB64" s="2"/>
      <c r="DKC64" s="6"/>
      <c r="DKD64" s="1"/>
      <c r="DKJ64" s="2"/>
      <c r="DKK64" s="6"/>
      <c r="DKL64" s="1"/>
      <c r="DKR64" s="2"/>
      <c r="DKS64" s="6"/>
      <c r="DKT64" s="1"/>
      <c r="DKZ64" s="2"/>
      <c r="DLA64" s="6"/>
      <c r="DLB64" s="1"/>
      <c r="DLH64" s="2"/>
      <c r="DLI64" s="6"/>
      <c r="DLJ64" s="1"/>
      <c r="DLP64" s="2"/>
      <c r="DLQ64" s="6"/>
      <c r="DLR64" s="1"/>
      <c r="DLX64" s="2"/>
      <c r="DLY64" s="6"/>
      <c r="DLZ64" s="1"/>
      <c r="DMF64" s="2"/>
      <c r="DMG64" s="6"/>
      <c r="DMH64" s="1"/>
      <c r="DMN64" s="2"/>
      <c r="DMO64" s="6"/>
      <c r="DMP64" s="1"/>
      <c r="DMV64" s="2"/>
      <c r="DMW64" s="6"/>
      <c r="DMX64" s="1"/>
      <c r="DND64" s="2"/>
      <c r="DNE64" s="6"/>
      <c r="DNF64" s="1"/>
      <c r="DNL64" s="2"/>
      <c r="DNM64" s="6"/>
      <c r="DNN64" s="1"/>
      <c r="DNT64" s="2"/>
      <c r="DNU64" s="6"/>
      <c r="DNV64" s="1"/>
      <c r="DOB64" s="2"/>
      <c r="DOC64" s="6"/>
      <c r="DOD64" s="1"/>
      <c r="DOJ64" s="2"/>
      <c r="DOK64" s="6"/>
      <c r="DOL64" s="1"/>
      <c r="DOR64" s="2"/>
      <c r="DOS64" s="6"/>
      <c r="DOT64" s="1"/>
      <c r="DOZ64" s="2"/>
      <c r="DPA64" s="6"/>
      <c r="DPB64" s="1"/>
      <c r="DPH64" s="2"/>
      <c r="DPI64" s="6"/>
      <c r="DPJ64" s="1"/>
      <c r="DPP64" s="2"/>
      <c r="DPQ64" s="6"/>
      <c r="DPR64" s="1"/>
      <c r="DPX64" s="2"/>
      <c r="DPY64" s="6"/>
      <c r="DPZ64" s="1"/>
      <c r="DQF64" s="2"/>
      <c r="DQG64" s="6"/>
      <c r="DQH64" s="1"/>
      <c r="DQN64" s="2"/>
      <c r="DQO64" s="6"/>
      <c r="DQP64" s="1"/>
      <c r="DQV64" s="2"/>
      <c r="DQW64" s="6"/>
      <c r="DQX64" s="1"/>
      <c r="DRD64" s="2"/>
      <c r="DRE64" s="6"/>
      <c r="DRF64" s="1"/>
      <c r="DRL64" s="2"/>
      <c r="DRM64" s="6"/>
      <c r="DRN64" s="1"/>
      <c r="DRT64" s="2"/>
      <c r="DRU64" s="6"/>
      <c r="DRV64" s="1"/>
      <c r="DSB64" s="2"/>
      <c r="DSC64" s="6"/>
      <c r="DSD64" s="1"/>
      <c r="DSJ64" s="2"/>
      <c r="DSK64" s="6"/>
      <c r="DSL64" s="1"/>
      <c r="DSR64" s="2"/>
      <c r="DSS64" s="6"/>
      <c r="DST64" s="1"/>
      <c r="DSZ64" s="2"/>
      <c r="DTA64" s="6"/>
      <c r="DTB64" s="1"/>
      <c r="DTH64" s="2"/>
      <c r="DTI64" s="6"/>
      <c r="DTJ64" s="1"/>
      <c r="DTP64" s="2"/>
      <c r="DTQ64" s="6"/>
      <c r="DTR64" s="1"/>
      <c r="DTX64" s="2"/>
      <c r="DTY64" s="6"/>
      <c r="DTZ64" s="1"/>
      <c r="DUF64" s="2"/>
      <c r="DUG64" s="6"/>
      <c r="DUH64" s="1"/>
      <c r="DUN64" s="2"/>
      <c r="DUO64" s="6"/>
      <c r="DUP64" s="1"/>
      <c r="DUV64" s="2"/>
      <c r="DUW64" s="6"/>
      <c r="DUX64" s="1"/>
      <c r="DVD64" s="2"/>
      <c r="DVE64" s="6"/>
      <c r="DVF64" s="1"/>
      <c r="DVL64" s="2"/>
      <c r="DVM64" s="6"/>
      <c r="DVN64" s="1"/>
      <c r="DVT64" s="2"/>
      <c r="DVU64" s="6"/>
      <c r="DVV64" s="1"/>
      <c r="DWB64" s="2"/>
      <c r="DWC64" s="6"/>
      <c r="DWD64" s="1"/>
      <c r="DWJ64" s="2"/>
      <c r="DWK64" s="6"/>
      <c r="DWL64" s="1"/>
      <c r="DWR64" s="2"/>
      <c r="DWS64" s="6"/>
      <c r="DWT64" s="1"/>
      <c r="DWZ64" s="2"/>
      <c r="DXA64" s="6"/>
      <c r="DXB64" s="1"/>
      <c r="DXH64" s="2"/>
      <c r="DXI64" s="6"/>
      <c r="DXJ64" s="1"/>
      <c r="DXP64" s="2"/>
      <c r="DXQ64" s="6"/>
      <c r="DXR64" s="1"/>
      <c r="DXX64" s="2"/>
      <c r="DXY64" s="6"/>
      <c r="DXZ64" s="1"/>
      <c r="DYF64" s="2"/>
      <c r="DYG64" s="6"/>
      <c r="DYH64" s="1"/>
      <c r="DYN64" s="2"/>
      <c r="DYO64" s="6"/>
      <c r="DYP64" s="1"/>
      <c r="DYV64" s="2"/>
      <c r="DYW64" s="6"/>
      <c r="DYX64" s="1"/>
      <c r="DZD64" s="2"/>
      <c r="DZE64" s="6"/>
      <c r="DZF64" s="1"/>
      <c r="DZL64" s="2"/>
      <c r="DZM64" s="6"/>
      <c r="DZN64" s="1"/>
      <c r="DZT64" s="2"/>
      <c r="DZU64" s="6"/>
      <c r="DZV64" s="1"/>
      <c r="EAB64" s="2"/>
      <c r="EAC64" s="6"/>
      <c r="EAD64" s="1"/>
      <c r="EAJ64" s="2"/>
      <c r="EAK64" s="6"/>
      <c r="EAL64" s="1"/>
      <c r="EAR64" s="2"/>
      <c r="EAS64" s="6"/>
      <c r="EAT64" s="1"/>
      <c r="EAZ64" s="2"/>
      <c r="EBA64" s="6"/>
      <c r="EBB64" s="1"/>
      <c r="EBH64" s="2"/>
      <c r="EBI64" s="6"/>
      <c r="EBJ64" s="1"/>
      <c r="EBP64" s="2"/>
      <c r="EBQ64" s="6"/>
      <c r="EBR64" s="1"/>
      <c r="EBX64" s="2"/>
      <c r="EBY64" s="6"/>
      <c r="EBZ64" s="1"/>
      <c r="ECF64" s="2"/>
      <c r="ECG64" s="6"/>
      <c r="ECH64" s="1"/>
      <c r="ECN64" s="2"/>
      <c r="ECO64" s="6"/>
      <c r="ECP64" s="1"/>
      <c r="ECV64" s="2"/>
      <c r="ECW64" s="6"/>
      <c r="ECX64" s="1"/>
      <c r="EDD64" s="2"/>
      <c r="EDE64" s="6"/>
      <c r="EDF64" s="1"/>
      <c r="EDL64" s="2"/>
      <c r="EDM64" s="6"/>
      <c r="EDN64" s="1"/>
      <c r="EDT64" s="2"/>
      <c r="EDU64" s="6"/>
      <c r="EDV64" s="1"/>
      <c r="EEB64" s="2"/>
      <c r="EEC64" s="6"/>
      <c r="EED64" s="1"/>
      <c r="EEJ64" s="2"/>
      <c r="EEK64" s="6"/>
      <c r="EEL64" s="1"/>
      <c r="EER64" s="2"/>
      <c r="EES64" s="6"/>
      <c r="EET64" s="1"/>
      <c r="EEZ64" s="2"/>
      <c r="EFA64" s="6"/>
      <c r="EFB64" s="1"/>
      <c r="EFH64" s="2"/>
      <c r="EFI64" s="6"/>
      <c r="EFJ64" s="1"/>
      <c r="EFP64" s="2"/>
      <c r="EFQ64" s="6"/>
      <c r="EFR64" s="1"/>
      <c r="EFX64" s="2"/>
      <c r="EFY64" s="6"/>
      <c r="EFZ64" s="1"/>
      <c r="EGF64" s="2"/>
      <c r="EGG64" s="6"/>
      <c r="EGH64" s="1"/>
      <c r="EGN64" s="2"/>
      <c r="EGO64" s="6"/>
      <c r="EGP64" s="1"/>
      <c r="EGV64" s="2"/>
      <c r="EGW64" s="6"/>
      <c r="EGX64" s="1"/>
      <c r="EHD64" s="2"/>
      <c r="EHE64" s="6"/>
      <c r="EHF64" s="1"/>
      <c r="EHL64" s="2"/>
      <c r="EHM64" s="6"/>
      <c r="EHN64" s="1"/>
      <c r="EHT64" s="2"/>
      <c r="EHU64" s="6"/>
      <c r="EHV64" s="1"/>
      <c r="EIB64" s="2"/>
      <c r="EIC64" s="6"/>
      <c r="EID64" s="1"/>
      <c r="EIJ64" s="2"/>
      <c r="EIK64" s="6"/>
      <c r="EIL64" s="1"/>
      <c r="EIR64" s="2"/>
      <c r="EIS64" s="6"/>
      <c r="EIT64" s="1"/>
      <c r="EIZ64" s="2"/>
      <c r="EJA64" s="6"/>
      <c r="EJB64" s="1"/>
      <c r="EJH64" s="2"/>
      <c r="EJI64" s="6"/>
      <c r="EJJ64" s="1"/>
      <c r="EJP64" s="2"/>
      <c r="EJQ64" s="6"/>
      <c r="EJR64" s="1"/>
      <c r="EJX64" s="2"/>
      <c r="EJY64" s="6"/>
      <c r="EJZ64" s="1"/>
      <c r="EKF64" s="2"/>
      <c r="EKG64" s="6"/>
      <c r="EKH64" s="1"/>
      <c r="EKN64" s="2"/>
      <c r="EKO64" s="6"/>
      <c r="EKP64" s="1"/>
      <c r="EKV64" s="2"/>
      <c r="EKW64" s="6"/>
      <c r="EKX64" s="1"/>
      <c r="ELD64" s="2"/>
      <c r="ELE64" s="6"/>
      <c r="ELF64" s="1"/>
      <c r="ELL64" s="2"/>
      <c r="ELM64" s="6"/>
      <c r="ELN64" s="1"/>
      <c r="ELT64" s="2"/>
      <c r="ELU64" s="6"/>
      <c r="ELV64" s="1"/>
      <c r="EMB64" s="2"/>
      <c r="EMC64" s="6"/>
      <c r="EMD64" s="1"/>
      <c r="EMJ64" s="2"/>
      <c r="EMK64" s="6"/>
      <c r="EML64" s="1"/>
      <c r="EMR64" s="2"/>
      <c r="EMS64" s="6"/>
      <c r="EMT64" s="1"/>
      <c r="EMZ64" s="2"/>
      <c r="ENA64" s="6"/>
      <c r="ENB64" s="1"/>
      <c r="ENH64" s="2"/>
      <c r="ENI64" s="6"/>
      <c r="ENJ64" s="1"/>
      <c r="ENP64" s="2"/>
      <c r="ENQ64" s="6"/>
      <c r="ENR64" s="1"/>
      <c r="ENX64" s="2"/>
      <c r="ENY64" s="6"/>
      <c r="ENZ64" s="1"/>
      <c r="EOF64" s="2"/>
      <c r="EOG64" s="6"/>
      <c r="EOH64" s="1"/>
      <c r="EON64" s="2"/>
      <c r="EOO64" s="6"/>
      <c r="EOP64" s="1"/>
      <c r="EOV64" s="2"/>
      <c r="EOW64" s="6"/>
      <c r="EOX64" s="1"/>
      <c r="EPD64" s="2"/>
      <c r="EPE64" s="6"/>
      <c r="EPF64" s="1"/>
      <c r="EPL64" s="2"/>
      <c r="EPM64" s="6"/>
      <c r="EPN64" s="1"/>
      <c r="EPT64" s="2"/>
      <c r="EPU64" s="6"/>
      <c r="EPV64" s="1"/>
      <c r="EQB64" s="2"/>
      <c r="EQC64" s="6"/>
      <c r="EQD64" s="1"/>
      <c r="EQJ64" s="2"/>
      <c r="EQK64" s="6"/>
      <c r="EQL64" s="1"/>
      <c r="EQR64" s="2"/>
      <c r="EQS64" s="6"/>
      <c r="EQT64" s="1"/>
      <c r="EQZ64" s="2"/>
      <c r="ERA64" s="6"/>
      <c r="ERB64" s="1"/>
      <c r="ERH64" s="2"/>
      <c r="ERI64" s="6"/>
      <c r="ERJ64" s="1"/>
      <c r="ERP64" s="2"/>
      <c r="ERQ64" s="6"/>
      <c r="ERR64" s="1"/>
      <c r="ERX64" s="2"/>
      <c r="ERY64" s="6"/>
      <c r="ERZ64" s="1"/>
      <c r="ESF64" s="2"/>
      <c r="ESG64" s="6"/>
      <c r="ESH64" s="1"/>
      <c r="ESN64" s="2"/>
      <c r="ESO64" s="6"/>
      <c r="ESP64" s="1"/>
      <c r="ESV64" s="2"/>
      <c r="ESW64" s="6"/>
      <c r="ESX64" s="1"/>
      <c r="ETD64" s="2"/>
      <c r="ETE64" s="6"/>
      <c r="ETF64" s="1"/>
      <c r="ETL64" s="2"/>
      <c r="ETM64" s="6"/>
      <c r="ETN64" s="1"/>
      <c r="ETT64" s="2"/>
      <c r="ETU64" s="6"/>
      <c r="ETV64" s="1"/>
      <c r="EUB64" s="2"/>
      <c r="EUC64" s="6"/>
      <c r="EUD64" s="1"/>
      <c r="EUJ64" s="2"/>
      <c r="EUK64" s="6"/>
      <c r="EUL64" s="1"/>
      <c r="EUR64" s="2"/>
      <c r="EUS64" s="6"/>
      <c r="EUT64" s="1"/>
      <c r="EUZ64" s="2"/>
      <c r="EVA64" s="6"/>
      <c r="EVB64" s="1"/>
      <c r="EVH64" s="2"/>
      <c r="EVI64" s="6"/>
      <c r="EVJ64" s="1"/>
      <c r="EVP64" s="2"/>
      <c r="EVQ64" s="6"/>
      <c r="EVR64" s="1"/>
      <c r="EVX64" s="2"/>
      <c r="EVY64" s="6"/>
      <c r="EVZ64" s="1"/>
      <c r="EWF64" s="2"/>
      <c r="EWG64" s="6"/>
      <c r="EWH64" s="1"/>
      <c r="EWN64" s="2"/>
      <c r="EWO64" s="6"/>
      <c r="EWP64" s="1"/>
      <c r="EWV64" s="2"/>
      <c r="EWW64" s="6"/>
      <c r="EWX64" s="1"/>
      <c r="EXD64" s="2"/>
      <c r="EXE64" s="6"/>
      <c r="EXF64" s="1"/>
      <c r="EXL64" s="2"/>
      <c r="EXM64" s="6"/>
      <c r="EXN64" s="1"/>
      <c r="EXT64" s="2"/>
      <c r="EXU64" s="6"/>
      <c r="EXV64" s="1"/>
      <c r="EYB64" s="2"/>
      <c r="EYC64" s="6"/>
      <c r="EYD64" s="1"/>
      <c r="EYJ64" s="2"/>
      <c r="EYK64" s="6"/>
      <c r="EYL64" s="1"/>
      <c r="EYR64" s="2"/>
      <c r="EYS64" s="6"/>
      <c r="EYT64" s="1"/>
      <c r="EYZ64" s="2"/>
      <c r="EZA64" s="6"/>
      <c r="EZB64" s="1"/>
      <c r="EZH64" s="2"/>
      <c r="EZI64" s="6"/>
      <c r="EZJ64" s="1"/>
      <c r="EZP64" s="2"/>
      <c r="EZQ64" s="6"/>
      <c r="EZR64" s="1"/>
      <c r="EZX64" s="2"/>
      <c r="EZY64" s="6"/>
      <c r="EZZ64" s="1"/>
      <c r="FAF64" s="2"/>
      <c r="FAG64" s="6"/>
      <c r="FAH64" s="1"/>
      <c r="FAN64" s="2"/>
      <c r="FAO64" s="6"/>
      <c r="FAP64" s="1"/>
      <c r="FAV64" s="2"/>
      <c r="FAW64" s="6"/>
      <c r="FAX64" s="1"/>
      <c r="FBD64" s="2"/>
      <c r="FBE64" s="6"/>
      <c r="FBF64" s="1"/>
      <c r="FBL64" s="2"/>
      <c r="FBM64" s="6"/>
      <c r="FBN64" s="1"/>
      <c r="FBT64" s="2"/>
      <c r="FBU64" s="6"/>
      <c r="FBV64" s="1"/>
      <c r="FCB64" s="2"/>
      <c r="FCC64" s="6"/>
      <c r="FCD64" s="1"/>
      <c r="FCJ64" s="2"/>
      <c r="FCK64" s="6"/>
      <c r="FCL64" s="1"/>
      <c r="FCR64" s="2"/>
      <c r="FCS64" s="6"/>
      <c r="FCT64" s="1"/>
      <c r="FCZ64" s="2"/>
      <c r="FDA64" s="6"/>
      <c r="FDB64" s="1"/>
      <c r="FDH64" s="2"/>
      <c r="FDI64" s="6"/>
      <c r="FDJ64" s="1"/>
      <c r="FDP64" s="2"/>
      <c r="FDQ64" s="6"/>
      <c r="FDR64" s="1"/>
      <c r="FDX64" s="2"/>
      <c r="FDY64" s="6"/>
      <c r="FDZ64" s="1"/>
      <c r="FEF64" s="2"/>
      <c r="FEG64" s="6"/>
      <c r="FEH64" s="1"/>
      <c r="FEN64" s="2"/>
      <c r="FEO64" s="6"/>
      <c r="FEP64" s="1"/>
      <c r="FEV64" s="2"/>
      <c r="FEW64" s="6"/>
      <c r="FEX64" s="1"/>
      <c r="FFD64" s="2"/>
      <c r="FFE64" s="6"/>
      <c r="FFF64" s="1"/>
      <c r="FFL64" s="2"/>
      <c r="FFM64" s="6"/>
      <c r="FFN64" s="1"/>
      <c r="FFT64" s="2"/>
      <c r="FFU64" s="6"/>
      <c r="FFV64" s="1"/>
      <c r="FGB64" s="2"/>
      <c r="FGC64" s="6"/>
      <c r="FGD64" s="1"/>
      <c r="FGJ64" s="2"/>
      <c r="FGK64" s="6"/>
      <c r="FGL64" s="1"/>
      <c r="FGR64" s="2"/>
      <c r="FGS64" s="6"/>
      <c r="FGT64" s="1"/>
      <c r="FGZ64" s="2"/>
      <c r="FHA64" s="6"/>
      <c r="FHB64" s="1"/>
      <c r="FHH64" s="2"/>
      <c r="FHI64" s="6"/>
      <c r="FHJ64" s="1"/>
      <c r="FHP64" s="2"/>
      <c r="FHQ64" s="6"/>
      <c r="FHR64" s="1"/>
      <c r="FHX64" s="2"/>
      <c r="FHY64" s="6"/>
      <c r="FHZ64" s="1"/>
      <c r="FIF64" s="2"/>
      <c r="FIG64" s="6"/>
      <c r="FIH64" s="1"/>
      <c r="FIN64" s="2"/>
      <c r="FIO64" s="6"/>
      <c r="FIP64" s="1"/>
      <c r="FIV64" s="2"/>
      <c r="FIW64" s="6"/>
      <c r="FIX64" s="1"/>
      <c r="FJD64" s="2"/>
      <c r="FJE64" s="6"/>
      <c r="FJF64" s="1"/>
      <c r="FJL64" s="2"/>
      <c r="FJM64" s="6"/>
      <c r="FJN64" s="1"/>
      <c r="FJT64" s="2"/>
      <c r="FJU64" s="6"/>
      <c r="FJV64" s="1"/>
      <c r="FKB64" s="2"/>
      <c r="FKC64" s="6"/>
      <c r="FKD64" s="1"/>
      <c r="FKJ64" s="2"/>
      <c r="FKK64" s="6"/>
      <c r="FKL64" s="1"/>
      <c r="FKR64" s="2"/>
      <c r="FKS64" s="6"/>
      <c r="FKT64" s="1"/>
      <c r="FKZ64" s="2"/>
      <c r="FLA64" s="6"/>
      <c r="FLB64" s="1"/>
      <c r="FLH64" s="2"/>
      <c r="FLI64" s="6"/>
      <c r="FLJ64" s="1"/>
      <c r="FLP64" s="2"/>
      <c r="FLQ64" s="6"/>
      <c r="FLR64" s="1"/>
      <c r="FLX64" s="2"/>
      <c r="FLY64" s="6"/>
      <c r="FLZ64" s="1"/>
      <c r="FMF64" s="2"/>
      <c r="FMG64" s="6"/>
      <c r="FMH64" s="1"/>
      <c r="FMN64" s="2"/>
      <c r="FMO64" s="6"/>
      <c r="FMP64" s="1"/>
      <c r="FMV64" s="2"/>
      <c r="FMW64" s="6"/>
      <c r="FMX64" s="1"/>
      <c r="FND64" s="2"/>
      <c r="FNE64" s="6"/>
      <c r="FNF64" s="1"/>
      <c r="FNL64" s="2"/>
      <c r="FNM64" s="6"/>
      <c r="FNN64" s="1"/>
      <c r="FNT64" s="2"/>
      <c r="FNU64" s="6"/>
      <c r="FNV64" s="1"/>
      <c r="FOB64" s="2"/>
      <c r="FOC64" s="6"/>
      <c r="FOD64" s="1"/>
      <c r="FOJ64" s="2"/>
      <c r="FOK64" s="6"/>
      <c r="FOL64" s="1"/>
      <c r="FOR64" s="2"/>
      <c r="FOS64" s="6"/>
      <c r="FOT64" s="1"/>
      <c r="FOZ64" s="2"/>
      <c r="FPA64" s="6"/>
      <c r="FPB64" s="1"/>
      <c r="FPH64" s="2"/>
      <c r="FPI64" s="6"/>
      <c r="FPJ64" s="1"/>
      <c r="FPP64" s="2"/>
      <c r="FPQ64" s="6"/>
      <c r="FPR64" s="1"/>
      <c r="FPX64" s="2"/>
      <c r="FPY64" s="6"/>
      <c r="FPZ64" s="1"/>
      <c r="FQF64" s="2"/>
      <c r="FQG64" s="6"/>
      <c r="FQH64" s="1"/>
      <c r="FQN64" s="2"/>
      <c r="FQO64" s="6"/>
      <c r="FQP64" s="1"/>
      <c r="FQV64" s="2"/>
      <c r="FQW64" s="6"/>
      <c r="FQX64" s="1"/>
      <c r="FRD64" s="2"/>
      <c r="FRE64" s="6"/>
      <c r="FRF64" s="1"/>
      <c r="FRL64" s="2"/>
      <c r="FRM64" s="6"/>
      <c r="FRN64" s="1"/>
      <c r="FRT64" s="2"/>
      <c r="FRU64" s="6"/>
      <c r="FRV64" s="1"/>
      <c r="FSB64" s="2"/>
      <c r="FSC64" s="6"/>
      <c r="FSD64" s="1"/>
      <c r="FSJ64" s="2"/>
      <c r="FSK64" s="6"/>
      <c r="FSL64" s="1"/>
      <c r="FSR64" s="2"/>
      <c r="FSS64" s="6"/>
      <c r="FST64" s="1"/>
      <c r="FSZ64" s="2"/>
      <c r="FTA64" s="6"/>
      <c r="FTB64" s="1"/>
      <c r="FTH64" s="2"/>
      <c r="FTI64" s="6"/>
      <c r="FTJ64" s="1"/>
      <c r="FTP64" s="2"/>
      <c r="FTQ64" s="6"/>
      <c r="FTR64" s="1"/>
      <c r="FTX64" s="2"/>
      <c r="FTY64" s="6"/>
      <c r="FTZ64" s="1"/>
      <c r="FUF64" s="2"/>
      <c r="FUG64" s="6"/>
      <c r="FUH64" s="1"/>
      <c r="FUN64" s="2"/>
      <c r="FUO64" s="6"/>
      <c r="FUP64" s="1"/>
      <c r="FUV64" s="2"/>
      <c r="FUW64" s="6"/>
      <c r="FUX64" s="1"/>
      <c r="FVD64" s="2"/>
      <c r="FVE64" s="6"/>
      <c r="FVF64" s="1"/>
      <c r="FVL64" s="2"/>
      <c r="FVM64" s="6"/>
      <c r="FVN64" s="1"/>
      <c r="FVT64" s="2"/>
      <c r="FVU64" s="6"/>
      <c r="FVV64" s="1"/>
      <c r="FWB64" s="2"/>
      <c r="FWC64" s="6"/>
      <c r="FWD64" s="1"/>
      <c r="FWJ64" s="2"/>
      <c r="FWK64" s="6"/>
      <c r="FWL64" s="1"/>
      <c r="FWR64" s="2"/>
      <c r="FWS64" s="6"/>
      <c r="FWT64" s="1"/>
      <c r="FWZ64" s="2"/>
      <c r="FXA64" s="6"/>
      <c r="FXB64" s="1"/>
      <c r="FXH64" s="2"/>
      <c r="FXI64" s="6"/>
      <c r="FXJ64" s="1"/>
      <c r="FXP64" s="2"/>
      <c r="FXQ64" s="6"/>
      <c r="FXR64" s="1"/>
      <c r="FXX64" s="2"/>
      <c r="FXY64" s="6"/>
      <c r="FXZ64" s="1"/>
      <c r="FYF64" s="2"/>
      <c r="FYG64" s="6"/>
      <c r="FYH64" s="1"/>
      <c r="FYN64" s="2"/>
      <c r="FYO64" s="6"/>
      <c r="FYP64" s="1"/>
      <c r="FYV64" s="2"/>
      <c r="FYW64" s="6"/>
      <c r="FYX64" s="1"/>
      <c r="FZD64" s="2"/>
      <c r="FZE64" s="6"/>
      <c r="FZF64" s="1"/>
      <c r="FZL64" s="2"/>
      <c r="FZM64" s="6"/>
      <c r="FZN64" s="1"/>
      <c r="FZT64" s="2"/>
      <c r="FZU64" s="6"/>
      <c r="FZV64" s="1"/>
      <c r="GAB64" s="2"/>
      <c r="GAC64" s="6"/>
      <c r="GAD64" s="1"/>
      <c r="GAJ64" s="2"/>
      <c r="GAK64" s="6"/>
      <c r="GAL64" s="1"/>
      <c r="GAR64" s="2"/>
      <c r="GAS64" s="6"/>
      <c r="GAT64" s="1"/>
      <c r="GAZ64" s="2"/>
      <c r="GBA64" s="6"/>
      <c r="GBB64" s="1"/>
      <c r="GBH64" s="2"/>
      <c r="GBI64" s="6"/>
      <c r="GBJ64" s="1"/>
      <c r="GBP64" s="2"/>
      <c r="GBQ64" s="6"/>
      <c r="GBR64" s="1"/>
      <c r="GBX64" s="2"/>
      <c r="GBY64" s="6"/>
      <c r="GBZ64" s="1"/>
      <c r="GCF64" s="2"/>
      <c r="GCG64" s="6"/>
      <c r="GCH64" s="1"/>
      <c r="GCN64" s="2"/>
      <c r="GCO64" s="6"/>
      <c r="GCP64" s="1"/>
      <c r="GCV64" s="2"/>
      <c r="GCW64" s="6"/>
      <c r="GCX64" s="1"/>
      <c r="GDD64" s="2"/>
      <c r="GDE64" s="6"/>
      <c r="GDF64" s="1"/>
      <c r="GDL64" s="2"/>
      <c r="GDM64" s="6"/>
      <c r="GDN64" s="1"/>
      <c r="GDT64" s="2"/>
      <c r="GDU64" s="6"/>
      <c r="GDV64" s="1"/>
      <c r="GEB64" s="2"/>
      <c r="GEC64" s="6"/>
      <c r="GED64" s="1"/>
      <c r="GEJ64" s="2"/>
      <c r="GEK64" s="6"/>
      <c r="GEL64" s="1"/>
      <c r="GER64" s="2"/>
      <c r="GES64" s="6"/>
      <c r="GET64" s="1"/>
      <c r="GEZ64" s="2"/>
      <c r="GFA64" s="6"/>
      <c r="GFB64" s="1"/>
      <c r="GFH64" s="2"/>
      <c r="GFI64" s="6"/>
      <c r="GFJ64" s="1"/>
      <c r="GFP64" s="2"/>
      <c r="GFQ64" s="6"/>
      <c r="GFR64" s="1"/>
      <c r="GFX64" s="2"/>
      <c r="GFY64" s="6"/>
      <c r="GFZ64" s="1"/>
      <c r="GGF64" s="2"/>
      <c r="GGG64" s="6"/>
      <c r="GGH64" s="1"/>
      <c r="GGN64" s="2"/>
      <c r="GGO64" s="6"/>
      <c r="GGP64" s="1"/>
      <c r="GGV64" s="2"/>
      <c r="GGW64" s="6"/>
      <c r="GGX64" s="1"/>
      <c r="GHD64" s="2"/>
      <c r="GHE64" s="6"/>
      <c r="GHF64" s="1"/>
      <c r="GHL64" s="2"/>
      <c r="GHM64" s="6"/>
      <c r="GHN64" s="1"/>
      <c r="GHT64" s="2"/>
      <c r="GHU64" s="6"/>
      <c r="GHV64" s="1"/>
      <c r="GIB64" s="2"/>
      <c r="GIC64" s="6"/>
      <c r="GID64" s="1"/>
      <c r="GIJ64" s="2"/>
      <c r="GIK64" s="6"/>
      <c r="GIL64" s="1"/>
      <c r="GIR64" s="2"/>
      <c r="GIS64" s="6"/>
      <c r="GIT64" s="1"/>
      <c r="GIZ64" s="2"/>
      <c r="GJA64" s="6"/>
      <c r="GJB64" s="1"/>
      <c r="GJH64" s="2"/>
      <c r="GJI64" s="6"/>
      <c r="GJJ64" s="1"/>
      <c r="GJP64" s="2"/>
      <c r="GJQ64" s="6"/>
      <c r="GJR64" s="1"/>
      <c r="GJX64" s="2"/>
      <c r="GJY64" s="6"/>
      <c r="GJZ64" s="1"/>
      <c r="GKF64" s="2"/>
      <c r="GKG64" s="6"/>
      <c r="GKH64" s="1"/>
      <c r="GKN64" s="2"/>
      <c r="GKO64" s="6"/>
      <c r="GKP64" s="1"/>
      <c r="GKV64" s="2"/>
      <c r="GKW64" s="6"/>
      <c r="GKX64" s="1"/>
      <c r="GLD64" s="2"/>
      <c r="GLE64" s="6"/>
      <c r="GLF64" s="1"/>
      <c r="GLL64" s="2"/>
      <c r="GLM64" s="6"/>
      <c r="GLN64" s="1"/>
      <c r="GLT64" s="2"/>
      <c r="GLU64" s="6"/>
      <c r="GLV64" s="1"/>
      <c r="GMB64" s="2"/>
      <c r="GMC64" s="6"/>
      <c r="GMD64" s="1"/>
      <c r="GMJ64" s="2"/>
      <c r="GMK64" s="6"/>
      <c r="GML64" s="1"/>
      <c r="GMR64" s="2"/>
      <c r="GMS64" s="6"/>
      <c r="GMT64" s="1"/>
      <c r="GMZ64" s="2"/>
      <c r="GNA64" s="6"/>
      <c r="GNB64" s="1"/>
      <c r="GNH64" s="2"/>
      <c r="GNI64" s="6"/>
      <c r="GNJ64" s="1"/>
      <c r="GNP64" s="2"/>
      <c r="GNQ64" s="6"/>
      <c r="GNR64" s="1"/>
      <c r="GNX64" s="2"/>
      <c r="GNY64" s="6"/>
      <c r="GNZ64" s="1"/>
      <c r="GOF64" s="2"/>
      <c r="GOG64" s="6"/>
      <c r="GOH64" s="1"/>
      <c r="GON64" s="2"/>
      <c r="GOO64" s="6"/>
      <c r="GOP64" s="1"/>
      <c r="GOV64" s="2"/>
      <c r="GOW64" s="6"/>
      <c r="GOX64" s="1"/>
      <c r="GPD64" s="2"/>
      <c r="GPE64" s="6"/>
      <c r="GPF64" s="1"/>
      <c r="GPL64" s="2"/>
      <c r="GPM64" s="6"/>
      <c r="GPN64" s="1"/>
      <c r="GPT64" s="2"/>
      <c r="GPU64" s="6"/>
      <c r="GPV64" s="1"/>
      <c r="GQB64" s="2"/>
      <c r="GQC64" s="6"/>
      <c r="GQD64" s="1"/>
      <c r="GQJ64" s="2"/>
      <c r="GQK64" s="6"/>
      <c r="GQL64" s="1"/>
      <c r="GQR64" s="2"/>
      <c r="GQS64" s="6"/>
      <c r="GQT64" s="1"/>
      <c r="GQZ64" s="2"/>
      <c r="GRA64" s="6"/>
      <c r="GRB64" s="1"/>
      <c r="GRH64" s="2"/>
      <c r="GRI64" s="6"/>
      <c r="GRJ64" s="1"/>
      <c r="GRP64" s="2"/>
      <c r="GRQ64" s="6"/>
      <c r="GRR64" s="1"/>
      <c r="GRX64" s="2"/>
      <c r="GRY64" s="6"/>
      <c r="GRZ64" s="1"/>
      <c r="GSF64" s="2"/>
      <c r="GSG64" s="6"/>
      <c r="GSH64" s="1"/>
      <c r="GSN64" s="2"/>
      <c r="GSO64" s="6"/>
      <c r="GSP64" s="1"/>
      <c r="GSV64" s="2"/>
      <c r="GSW64" s="6"/>
      <c r="GSX64" s="1"/>
      <c r="GTD64" s="2"/>
      <c r="GTE64" s="6"/>
      <c r="GTF64" s="1"/>
      <c r="GTL64" s="2"/>
      <c r="GTM64" s="6"/>
      <c r="GTN64" s="1"/>
      <c r="GTT64" s="2"/>
      <c r="GTU64" s="6"/>
      <c r="GTV64" s="1"/>
      <c r="GUB64" s="2"/>
      <c r="GUC64" s="6"/>
      <c r="GUD64" s="1"/>
      <c r="GUJ64" s="2"/>
      <c r="GUK64" s="6"/>
      <c r="GUL64" s="1"/>
      <c r="GUR64" s="2"/>
      <c r="GUS64" s="6"/>
      <c r="GUT64" s="1"/>
      <c r="GUZ64" s="2"/>
      <c r="GVA64" s="6"/>
      <c r="GVB64" s="1"/>
      <c r="GVH64" s="2"/>
      <c r="GVI64" s="6"/>
      <c r="GVJ64" s="1"/>
      <c r="GVP64" s="2"/>
      <c r="GVQ64" s="6"/>
      <c r="GVR64" s="1"/>
      <c r="GVX64" s="2"/>
      <c r="GVY64" s="6"/>
      <c r="GVZ64" s="1"/>
      <c r="GWF64" s="2"/>
      <c r="GWG64" s="6"/>
      <c r="GWH64" s="1"/>
      <c r="GWN64" s="2"/>
      <c r="GWO64" s="6"/>
      <c r="GWP64" s="1"/>
      <c r="GWV64" s="2"/>
      <c r="GWW64" s="6"/>
      <c r="GWX64" s="1"/>
      <c r="GXD64" s="2"/>
      <c r="GXE64" s="6"/>
      <c r="GXF64" s="1"/>
      <c r="GXL64" s="2"/>
      <c r="GXM64" s="6"/>
      <c r="GXN64" s="1"/>
      <c r="GXT64" s="2"/>
      <c r="GXU64" s="6"/>
      <c r="GXV64" s="1"/>
      <c r="GYB64" s="2"/>
      <c r="GYC64" s="6"/>
      <c r="GYD64" s="1"/>
      <c r="GYJ64" s="2"/>
      <c r="GYK64" s="6"/>
      <c r="GYL64" s="1"/>
      <c r="GYR64" s="2"/>
      <c r="GYS64" s="6"/>
      <c r="GYT64" s="1"/>
      <c r="GYZ64" s="2"/>
      <c r="GZA64" s="6"/>
      <c r="GZB64" s="1"/>
      <c r="GZH64" s="2"/>
      <c r="GZI64" s="6"/>
      <c r="GZJ64" s="1"/>
      <c r="GZP64" s="2"/>
      <c r="GZQ64" s="6"/>
      <c r="GZR64" s="1"/>
      <c r="GZX64" s="2"/>
      <c r="GZY64" s="6"/>
      <c r="GZZ64" s="1"/>
      <c r="HAF64" s="2"/>
      <c r="HAG64" s="6"/>
      <c r="HAH64" s="1"/>
      <c r="HAN64" s="2"/>
      <c r="HAO64" s="6"/>
      <c r="HAP64" s="1"/>
      <c r="HAV64" s="2"/>
      <c r="HAW64" s="6"/>
      <c r="HAX64" s="1"/>
      <c r="HBD64" s="2"/>
      <c r="HBE64" s="6"/>
      <c r="HBF64" s="1"/>
      <c r="HBL64" s="2"/>
      <c r="HBM64" s="6"/>
      <c r="HBN64" s="1"/>
      <c r="HBT64" s="2"/>
      <c r="HBU64" s="6"/>
      <c r="HBV64" s="1"/>
      <c r="HCB64" s="2"/>
      <c r="HCC64" s="6"/>
      <c r="HCD64" s="1"/>
      <c r="HCJ64" s="2"/>
      <c r="HCK64" s="6"/>
      <c r="HCL64" s="1"/>
      <c r="HCR64" s="2"/>
      <c r="HCS64" s="6"/>
      <c r="HCT64" s="1"/>
      <c r="HCZ64" s="2"/>
      <c r="HDA64" s="6"/>
      <c r="HDB64" s="1"/>
      <c r="HDH64" s="2"/>
      <c r="HDI64" s="6"/>
      <c r="HDJ64" s="1"/>
      <c r="HDP64" s="2"/>
      <c r="HDQ64" s="6"/>
      <c r="HDR64" s="1"/>
      <c r="HDX64" s="2"/>
      <c r="HDY64" s="6"/>
      <c r="HDZ64" s="1"/>
      <c r="HEF64" s="2"/>
      <c r="HEG64" s="6"/>
      <c r="HEH64" s="1"/>
      <c r="HEN64" s="2"/>
      <c r="HEO64" s="6"/>
      <c r="HEP64" s="1"/>
      <c r="HEV64" s="2"/>
      <c r="HEW64" s="6"/>
      <c r="HEX64" s="1"/>
      <c r="HFD64" s="2"/>
      <c r="HFE64" s="6"/>
      <c r="HFF64" s="1"/>
      <c r="HFL64" s="2"/>
      <c r="HFM64" s="6"/>
      <c r="HFN64" s="1"/>
      <c r="HFT64" s="2"/>
      <c r="HFU64" s="6"/>
      <c r="HFV64" s="1"/>
      <c r="HGB64" s="2"/>
      <c r="HGC64" s="6"/>
      <c r="HGD64" s="1"/>
      <c r="HGJ64" s="2"/>
      <c r="HGK64" s="6"/>
      <c r="HGL64" s="1"/>
      <c r="HGR64" s="2"/>
      <c r="HGS64" s="6"/>
      <c r="HGT64" s="1"/>
      <c r="HGZ64" s="2"/>
      <c r="HHA64" s="6"/>
      <c r="HHB64" s="1"/>
      <c r="HHH64" s="2"/>
      <c r="HHI64" s="6"/>
      <c r="HHJ64" s="1"/>
      <c r="HHP64" s="2"/>
      <c r="HHQ64" s="6"/>
      <c r="HHR64" s="1"/>
      <c r="HHX64" s="2"/>
      <c r="HHY64" s="6"/>
      <c r="HHZ64" s="1"/>
      <c r="HIF64" s="2"/>
      <c r="HIG64" s="6"/>
      <c r="HIH64" s="1"/>
      <c r="HIN64" s="2"/>
      <c r="HIO64" s="6"/>
      <c r="HIP64" s="1"/>
      <c r="HIV64" s="2"/>
      <c r="HIW64" s="6"/>
      <c r="HIX64" s="1"/>
      <c r="HJD64" s="2"/>
      <c r="HJE64" s="6"/>
      <c r="HJF64" s="1"/>
      <c r="HJL64" s="2"/>
      <c r="HJM64" s="6"/>
      <c r="HJN64" s="1"/>
      <c r="HJT64" s="2"/>
      <c r="HJU64" s="6"/>
      <c r="HJV64" s="1"/>
      <c r="HKB64" s="2"/>
      <c r="HKC64" s="6"/>
      <c r="HKD64" s="1"/>
      <c r="HKJ64" s="2"/>
      <c r="HKK64" s="6"/>
      <c r="HKL64" s="1"/>
      <c r="HKR64" s="2"/>
      <c r="HKS64" s="6"/>
      <c r="HKT64" s="1"/>
      <c r="HKZ64" s="2"/>
      <c r="HLA64" s="6"/>
      <c r="HLB64" s="1"/>
      <c r="HLH64" s="2"/>
      <c r="HLI64" s="6"/>
      <c r="HLJ64" s="1"/>
      <c r="HLP64" s="2"/>
      <c r="HLQ64" s="6"/>
      <c r="HLR64" s="1"/>
      <c r="HLX64" s="2"/>
      <c r="HLY64" s="6"/>
      <c r="HLZ64" s="1"/>
      <c r="HMF64" s="2"/>
      <c r="HMG64" s="6"/>
      <c r="HMH64" s="1"/>
      <c r="HMN64" s="2"/>
      <c r="HMO64" s="6"/>
      <c r="HMP64" s="1"/>
      <c r="HMV64" s="2"/>
      <c r="HMW64" s="6"/>
      <c r="HMX64" s="1"/>
      <c r="HND64" s="2"/>
      <c r="HNE64" s="6"/>
      <c r="HNF64" s="1"/>
      <c r="HNL64" s="2"/>
      <c r="HNM64" s="6"/>
      <c r="HNN64" s="1"/>
      <c r="HNT64" s="2"/>
      <c r="HNU64" s="6"/>
      <c r="HNV64" s="1"/>
      <c r="HOB64" s="2"/>
      <c r="HOC64" s="6"/>
      <c r="HOD64" s="1"/>
      <c r="HOJ64" s="2"/>
      <c r="HOK64" s="6"/>
      <c r="HOL64" s="1"/>
      <c r="HOR64" s="2"/>
      <c r="HOS64" s="6"/>
      <c r="HOT64" s="1"/>
      <c r="HOZ64" s="2"/>
      <c r="HPA64" s="6"/>
      <c r="HPB64" s="1"/>
      <c r="HPH64" s="2"/>
      <c r="HPI64" s="6"/>
      <c r="HPJ64" s="1"/>
      <c r="HPP64" s="2"/>
      <c r="HPQ64" s="6"/>
      <c r="HPR64" s="1"/>
      <c r="HPX64" s="2"/>
      <c r="HPY64" s="6"/>
      <c r="HPZ64" s="1"/>
      <c r="HQF64" s="2"/>
      <c r="HQG64" s="6"/>
      <c r="HQH64" s="1"/>
      <c r="HQN64" s="2"/>
      <c r="HQO64" s="6"/>
      <c r="HQP64" s="1"/>
      <c r="HQV64" s="2"/>
      <c r="HQW64" s="6"/>
      <c r="HQX64" s="1"/>
      <c r="HRD64" s="2"/>
      <c r="HRE64" s="6"/>
      <c r="HRF64" s="1"/>
      <c r="HRL64" s="2"/>
      <c r="HRM64" s="6"/>
      <c r="HRN64" s="1"/>
      <c r="HRT64" s="2"/>
      <c r="HRU64" s="6"/>
      <c r="HRV64" s="1"/>
      <c r="HSB64" s="2"/>
      <c r="HSC64" s="6"/>
      <c r="HSD64" s="1"/>
      <c r="HSJ64" s="2"/>
      <c r="HSK64" s="6"/>
      <c r="HSL64" s="1"/>
      <c r="HSR64" s="2"/>
      <c r="HSS64" s="6"/>
      <c r="HST64" s="1"/>
      <c r="HSZ64" s="2"/>
      <c r="HTA64" s="6"/>
      <c r="HTB64" s="1"/>
      <c r="HTH64" s="2"/>
      <c r="HTI64" s="6"/>
      <c r="HTJ64" s="1"/>
      <c r="HTP64" s="2"/>
      <c r="HTQ64" s="6"/>
      <c r="HTR64" s="1"/>
      <c r="HTX64" s="2"/>
      <c r="HTY64" s="6"/>
      <c r="HTZ64" s="1"/>
      <c r="HUF64" s="2"/>
      <c r="HUG64" s="6"/>
      <c r="HUH64" s="1"/>
      <c r="HUN64" s="2"/>
      <c r="HUO64" s="6"/>
      <c r="HUP64" s="1"/>
      <c r="HUV64" s="2"/>
      <c r="HUW64" s="6"/>
      <c r="HUX64" s="1"/>
      <c r="HVD64" s="2"/>
      <c r="HVE64" s="6"/>
      <c r="HVF64" s="1"/>
      <c r="HVL64" s="2"/>
      <c r="HVM64" s="6"/>
      <c r="HVN64" s="1"/>
      <c r="HVT64" s="2"/>
      <c r="HVU64" s="6"/>
      <c r="HVV64" s="1"/>
      <c r="HWB64" s="2"/>
      <c r="HWC64" s="6"/>
      <c r="HWD64" s="1"/>
      <c r="HWJ64" s="2"/>
      <c r="HWK64" s="6"/>
      <c r="HWL64" s="1"/>
      <c r="HWR64" s="2"/>
      <c r="HWS64" s="6"/>
      <c r="HWT64" s="1"/>
      <c r="HWZ64" s="2"/>
      <c r="HXA64" s="6"/>
      <c r="HXB64" s="1"/>
      <c r="HXH64" s="2"/>
      <c r="HXI64" s="6"/>
      <c r="HXJ64" s="1"/>
      <c r="HXP64" s="2"/>
      <c r="HXQ64" s="6"/>
      <c r="HXR64" s="1"/>
      <c r="HXX64" s="2"/>
      <c r="HXY64" s="6"/>
      <c r="HXZ64" s="1"/>
      <c r="HYF64" s="2"/>
      <c r="HYG64" s="6"/>
      <c r="HYH64" s="1"/>
      <c r="HYN64" s="2"/>
      <c r="HYO64" s="6"/>
      <c r="HYP64" s="1"/>
      <c r="HYV64" s="2"/>
      <c r="HYW64" s="6"/>
      <c r="HYX64" s="1"/>
      <c r="HZD64" s="2"/>
      <c r="HZE64" s="6"/>
      <c r="HZF64" s="1"/>
      <c r="HZL64" s="2"/>
      <c r="HZM64" s="6"/>
      <c r="HZN64" s="1"/>
      <c r="HZT64" s="2"/>
      <c r="HZU64" s="6"/>
      <c r="HZV64" s="1"/>
      <c r="IAB64" s="2"/>
      <c r="IAC64" s="6"/>
      <c r="IAD64" s="1"/>
      <c r="IAJ64" s="2"/>
      <c r="IAK64" s="6"/>
      <c r="IAL64" s="1"/>
      <c r="IAR64" s="2"/>
      <c r="IAS64" s="6"/>
      <c r="IAT64" s="1"/>
      <c r="IAZ64" s="2"/>
      <c r="IBA64" s="6"/>
      <c r="IBB64" s="1"/>
      <c r="IBH64" s="2"/>
      <c r="IBI64" s="6"/>
      <c r="IBJ64" s="1"/>
      <c r="IBP64" s="2"/>
      <c r="IBQ64" s="6"/>
      <c r="IBR64" s="1"/>
      <c r="IBX64" s="2"/>
      <c r="IBY64" s="6"/>
      <c r="IBZ64" s="1"/>
      <c r="ICF64" s="2"/>
      <c r="ICG64" s="6"/>
      <c r="ICH64" s="1"/>
      <c r="ICN64" s="2"/>
      <c r="ICO64" s="6"/>
      <c r="ICP64" s="1"/>
      <c r="ICV64" s="2"/>
      <c r="ICW64" s="6"/>
      <c r="ICX64" s="1"/>
      <c r="IDD64" s="2"/>
      <c r="IDE64" s="6"/>
      <c r="IDF64" s="1"/>
      <c r="IDL64" s="2"/>
      <c r="IDM64" s="6"/>
      <c r="IDN64" s="1"/>
      <c r="IDT64" s="2"/>
      <c r="IDU64" s="6"/>
      <c r="IDV64" s="1"/>
      <c r="IEB64" s="2"/>
      <c r="IEC64" s="6"/>
      <c r="IED64" s="1"/>
      <c r="IEJ64" s="2"/>
      <c r="IEK64" s="6"/>
      <c r="IEL64" s="1"/>
      <c r="IER64" s="2"/>
      <c r="IES64" s="6"/>
      <c r="IET64" s="1"/>
      <c r="IEZ64" s="2"/>
      <c r="IFA64" s="6"/>
      <c r="IFB64" s="1"/>
      <c r="IFH64" s="2"/>
      <c r="IFI64" s="6"/>
      <c r="IFJ64" s="1"/>
      <c r="IFP64" s="2"/>
      <c r="IFQ64" s="6"/>
      <c r="IFR64" s="1"/>
      <c r="IFX64" s="2"/>
      <c r="IFY64" s="6"/>
      <c r="IFZ64" s="1"/>
      <c r="IGF64" s="2"/>
      <c r="IGG64" s="6"/>
      <c r="IGH64" s="1"/>
      <c r="IGN64" s="2"/>
      <c r="IGO64" s="6"/>
      <c r="IGP64" s="1"/>
      <c r="IGV64" s="2"/>
      <c r="IGW64" s="6"/>
      <c r="IGX64" s="1"/>
      <c r="IHD64" s="2"/>
      <c r="IHE64" s="6"/>
      <c r="IHF64" s="1"/>
      <c r="IHL64" s="2"/>
      <c r="IHM64" s="6"/>
      <c r="IHN64" s="1"/>
      <c r="IHT64" s="2"/>
      <c r="IHU64" s="6"/>
      <c r="IHV64" s="1"/>
      <c r="IIB64" s="2"/>
      <c r="IIC64" s="6"/>
      <c r="IID64" s="1"/>
      <c r="IIJ64" s="2"/>
      <c r="IIK64" s="6"/>
      <c r="IIL64" s="1"/>
      <c r="IIR64" s="2"/>
      <c r="IIS64" s="6"/>
      <c r="IIT64" s="1"/>
      <c r="IIZ64" s="2"/>
      <c r="IJA64" s="6"/>
      <c r="IJB64" s="1"/>
      <c r="IJH64" s="2"/>
      <c r="IJI64" s="6"/>
      <c r="IJJ64" s="1"/>
      <c r="IJP64" s="2"/>
      <c r="IJQ64" s="6"/>
      <c r="IJR64" s="1"/>
      <c r="IJX64" s="2"/>
      <c r="IJY64" s="6"/>
      <c r="IJZ64" s="1"/>
      <c r="IKF64" s="2"/>
      <c r="IKG64" s="6"/>
      <c r="IKH64" s="1"/>
      <c r="IKN64" s="2"/>
      <c r="IKO64" s="6"/>
      <c r="IKP64" s="1"/>
      <c r="IKV64" s="2"/>
      <c r="IKW64" s="6"/>
      <c r="IKX64" s="1"/>
      <c r="ILD64" s="2"/>
      <c r="ILE64" s="6"/>
      <c r="ILF64" s="1"/>
      <c r="ILL64" s="2"/>
      <c r="ILM64" s="6"/>
      <c r="ILN64" s="1"/>
      <c r="ILT64" s="2"/>
      <c r="ILU64" s="6"/>
      <c r="ILV64" s="1"/>
      <c r="IMB64" s="2"/>
      <c r="IMC64" s="6"/>
      <c r="IMD64" s="1"/>
      <c r="IMJ64" s="2"/>
      <c r="IMK64" s="6"/>
      <c r="IML64" s="1"/>
      <c r="IMR64" s="2"/>
      <c r="IMS64" s="6"/>
      <c r="IMT64" s="1"/>
      <c r="IMZ64" s="2"/>
      <c r="INA64" s="6"/>
      <c r="INB64" s="1"/>
      <c r="INH64" s="2"/>
      <c r="INI64" s="6"/>
      <c r="INJ64" s="1"/>
      <c r="INP64" s="2"/>
      <c r="INQ64" s="6"/>
      <c r="INR64" s="1"/>
      <c r="INX64" s="2"/>
      <c r="INY64" s="6"/>
      <c r="INZ64" s="1"/>
      <c r="IOF64" s="2"/>
      <c r="IOG64" s="6"/>
      <c r="IOH64" s="1"/>
      <c r="ION64" s="2"/>
      <c r="IOO64" s="6"/>
      <c r="IOP64" s="1"/>
      <c r="IOV64" s="2"/>
      <c r="IOW64" s="6"/>
      <c r="IOX64" s="1"/>
      <c r="IPD64" s="2"/>
      <c r="IPE64" s="6"/>
      <c r="IPF64" s="1"/>
      <c r="IPL64" s="2"/>
      <c r="IPM64" s="6"/>
      <c r="IPN64" s="1"/>
      <c r="IPT64" s="2"/>
      <c r="IPU64" s="6"/>
      <c r="IPV64" s="1"/>
      <c r="IQB64" s="2"/>
      <c r="IQC64" s="6"/>
      <c r="IQD64" s="1"/>
      <c r="IQJ64" s="2"/>
      <c r="IQK64" s="6"/>
      <c r="IQL64" s="1"/>
      <c r="IQR64" s="2"/>
      <c r="IQS64" s="6"/>
      <c r="IQT64" s="1"/>
      <c r="IQZ64" s="2"/>
      <c r="IRA64" s="6"/>
      <c r="IRB64" s="1"/>
      <c r="IRH64" s="2"/>
      <c r="IRI64" s="6"/>
      <c r="IRJ64" s="1"/>
      <c r="IRP64" s="2"/>
      <c r="IRQ64" s="6"/>
      <c r="IRR64" s="1"/>
      <c r="IRX64" s="2"/>
      <c r="IRY64" s="6"/>
      <c r="IRZ64" s="1"/>
      <c r="ISF64" s="2"/>
      <c r="ISG64" s="6"/>
      <c r="ISH64" s="1"/>
      <c r="ISN64" s="2"/>
      <c r="ISO64" s="6"/>
      <c r="ISP64" s="1"/>
      <c r="ISV64" s="2"/>
      <c r="ISW64" s="6"/>
      <c r="ISX64" s="1"/>
      <c r="ITD64" s="2"/>
      <c r="ITE64" s="6"/>
      <c r="ITF64" s="1"/>
      <c r="ITL64" s="2"/>
      <c r="ITM64" s="6"/>
      <c r="ITN64" s="1"/>
      <c r="ITT64" s="2"/>
      <c r="ITU64" s="6"/>
      <c r="ITV64" s="1"/>
      <c r="IUB64" s="2"/>
      <c r="IUC64" s="6"/>
      <c r="IUD64" s="1"/>
      <c r="IUJ64" s="2"/>
      <c r="IUK64" s="6"/>
      <c r="IUL64" s="1"/>
      <c r="IUR64" s="2"/>
      <c r="IUS64" s="6"/>
      <c r="IUT64" s="1"/>
      <c r="IUZ64" s="2"/>
      <c r="IVA64" s="6"/>
      <c r="IVB64" s="1"/>
      <c r="IVH64" s="2"/>
      <c r="IVI64" s="6"/>
      <c r="IVJ64" s="1"/>
      <c r="IVP64" s="2"/>
      <c r="IVQ64" s="6"/>
      <c r="IVR64" s="1"/>
      <c r="IVX64" s="2"/>
      <c r="IVY64" s="6"/>
      <c r="IVZ64" s="1"/>
      <c r="IWF64" s="2"/>
      <c r="IWG64" s="6"/>
      <c r="IWH64" s="1"/>
      <c r="IWN64" s="2"/>
      <c r="IWO64" s="6"/>
      <c r="IWP64" s="1"/>
      <c r="IWV64" s="2"/>
      <c r="IWW64" s="6"/>
      <c r="IWX64" s="1"/>
      <c r="IXD64" s="2"/>
      <c r="IXE64" s="6"/>
      <c r="IXF64" s="1"/>
      <c r="IXL64" s="2"/>
      <c r="IXM64" s="6"/>
      <c r="IXN64" s="1"/>
      <c r="IXT64" s="2"/>
      <c r="IXU64" s="6"/>
      <c r="IXV64" s="1"/>
      <c r="IYB64" s="2"/>
      <c r="IYC64" s="6"/>
      <c r="IYD64" s="1"/>
      <c r="IYJ64" s="2"/>
      <c r="IYK64" s="6"/>
      <c r="IYL64" s="1"/>
      <c r="IYR64" s="2"/>
      <c r="IYS64" s="6"/>
      <c r="IYT64" s="1"/>
      <c r="IYZ64" s="2"/>
      <c r="IZA64" s="6"/>
      <c r="IZB64" s="1"/>
      <c r="IZH64" s="2"/>
      <c r="IZI64" s="6"/>
      <c r="IZJ64" s="1"/>
      <c r="IZP64" s="2"/>
      <c r="IZQ64" s="6"/>
      <c r="IZR64" s="1"/>
      <c r="IZX64" s="2"/>
      <c r="IZY64" s="6"/>
      <c r="IZZ64" s="1"/>
      <c r="JAF64" s="2"/>
      <c r="JAG64" s="6"/>
      <c r="JAH64" s="1"/>
      <c r="JAN64" s="2"/>
      <c r="JAO64" s="6"/>
      <c r="JAP64" s="1"/>
      <c r="JAV64" s="2"/>
      <c r="JAW64" s="6"/>
      <c r="JAX64" s="1"/>
      <c r="JBD64" s="2"/>
      <c r="JBE64" s="6"/>
      <c r="JBF64" s="1"/>
      <c r="JBL64" s="2"/>
      <c r="JBM64" s="6"/>
      <c r="JBN64" s="1"/>
      <c r="JBT64" s="2"/>
      <c r="JBU64" s="6"/>
      <c r="JBV64" s="1"/>
      <c r="JCB64" s="2"/>
      <c r="JCC64" s="6"/>
      <c r="JCD64" s="1"/>
      <c r="JCJ64" s="2"/>
      <c r="JCK64" s="6"/>
      <c r="JCL64" s="1"/>
      <c r="JCR64" s="2"/>
      <c r="JCS64" s="6"/>
      <c r="JCT64" s="1"/>
      <c r="JCZ64" s="2"/>
      <c r="JDA64" s="6"/>
      <c r="JDB64" s="1"/>
      <c r="JDH64" s="2"/>
      <c r="JDI64" s="6"/>
      <c r="JDJ64" s="1"/>
      <c r="JDP64" s="2"/>
      <c r="JDQ64" s="6"/>
      <c r="JDR64" s="1"/>
      <c r="JDX64" s="2"/>
      <c r="JDY64" s="6"/>
      <c r="JDZ64" s="1"/>
      <c r="JEF64" s="2"/>
      <c r="JEG64" s="6"/>
      <c r="JEH64" s="1"/>
      <c r="JEN64" s="2"/>
      <c r="JEO64" s="6"/>
      <c r="JEP64" s="1"/>
      <c r="JEV64" s="2"/>
      <c r="JEW64" s="6"/>
      <c r="JEX64" s="1"/>
      <c r="JFD64" s="2"/>
      <c r="JFE64" s="6"/>
      <c r="JFF64" s="1"/>
      <c r="JFL64" s="2"/>
      <c r="JFM64" s="6"/>
      <c r="JFN64" s="1"/>
      <c r="JFT64" s="2"/>
      <c r="JFU64" s="6"/>
      <c r="JFV64" s="1"/>
      <c r="JGB64" s="2"/>
      <c r="JGC64" s="6"/>
      <c r="JGD64" s="1"/>
      <c r="JGJ64" s="2"/>
      <c r="JGK64" s="6"/>
      <c r="JGL64" s="1"/>
      <c r="JGR64" s="2"/>
      <c r="JGS64" s="6"/>
      <c r="JGT64" s="1"/>
      <c r="JGZ64" s="2"/>
      <c r="JHA64" s="6"/>
      <c r="JHB64" s="1"/>
      <c r="JHH64" s="2"/>
      <c r="JHI64" s="6"/>
      <c r="JHJ64" s="1"/>
      <c r="JHP64" s="2"/>
      <c r="JHQ64" s="6"/>
      <c r="JHR64" s="1"/>
      <c r="JHX64" s="2"/>
      <c r="JHY64" s="6"/>
      <c r="JHZ64" s="1"/>
      <c r="JIF64" s="2"/>
      <c r="JIG64" s="6"/>
      <c r="JIH64" s="1"/>
      <c r="JIN64" s="2"/>
      <c r="JIO64" s="6"/>
      <c r="JIP64" s="1"/>
      <c r="JIV64" s="2"/>
      <c r="JIW64" s="6"/>
      <c r="JIX64" s="1"/>
      <c r="JJD64" s="2"/>
      <c r="JJE64" s="6"/>
      <c r="JJF64" s="1"/>
      <c r="JJL64" s="2"/>
      <c r="JJM64" s="6"/>
      <c r="JJN64" s="1"/>
      <c r="JJT64" s="2"/>
      <c r="JJU64" s="6"/>
      <c r="JJV64" s="1"/>
      <c r="JKB64" s="2"/>
      <c r="JKC64" s="6"/>
      <c r="JKD64" s="1"/>
      <c r="JKJ64" s="2"/>
      <c r="JKK64" s="6"/>
      <c r="JKL64" s="1"/>
      <c r="JKR64" s="2"/>
      <c r="JKS64" s="6"/>
      <c r="JKT64" s="1"/>
      <c r="JKZ64" s="2"/>
      <c r="JLA64" s="6"/>
      <c r="JLB64" s="1"/>
      <c r="JLH64" s="2"/>
      <c r="JLI64" s="6"/>
      <c r="JLJ64" s="1"/>
      <c r="JLP64" s="2"/>
      <c r="JLQ64" s="6"/>
      <c r="JLR64" s="1"/>
      <c r="JLX64" s="2"/>
      <c r="JLY64" s="6"/>
      <c r="JLZ64" s="1"/>
      <c r="JMF64" s="2"/>
      <c r="JMG64" s="6"/>
      <c r="JMH64" s="1"/>
      <c r="JMN64" s="2"/>
      <c r="JMO64" s="6"/>
      <c r="JMP64" s="1"/>
      <c r="JMV64" s="2"/>
      <c r="JMW64" s="6"/>
      <c r="JMX64" s="1"/>
      <c r="JND64" s="2"/>
      <c r="JNE64" s="6"/>
      <c r="JNF64" s="1"/>
      <c r="JNL64" s="2"/>
      <c r="JNM64" s="6"/>
      <c r="JNN64" s="1"/>
      <c r="JNT64" s="2"/>
      <c r="JNU64" s="6"/>
      <c r="JNV64" s="1"/>
      <c r="JOB64" s="2"/>
      <c r="JOC64" s="6"/>
      <c r="JOD64" s="1"/>
      <c r="JOJ64" s="2"/>
      <c r="JOK64" s="6"/>
      <c r="JOL64" s="1"/>
      <c r="JOR64" s="2"/>
      <c r="JOS64" s="6"/>
      <c r="JOT64" s="1"/>
      <c r="JOZ64" s="2"/>
      <c r="JPA64" s="6"/>
      <c r="JPB64" s="1"/>
      <c r="JPH64" s="2"/>
      <c r="JPI64" s="6"/>
      <c r="JPJ64" s="1"/>
      <c r="JPP64" s="2"/>
      <c r="JPQ64" s="6"/>
      <c r="JPR64" s="1"/>
      <c r="JPX64" s="2"/>
      <c r="JPY64" s="6"/>
      <c r="JPZ64" s="1"/>
      <c r="JQF64" s="2"/>
      <c r="JQG64" s="6"/>
      <c r="JQH64" s="1"/>
      <c r="JQN64" s="2"/>
      <c r="JQO64" s="6"/>
      <c r="JQP64" s="1"/>
      <c r="JQV64" s="2"/>
      <c r="JQW64" s="6"/>
      <c r="JQX64" s="1"/>
      <c r="JRD64" s="2"/>
      <c r="JRE64" s="6"/>
      <c r="JRF64" s="1"/>
      <c r="JRL64" s="2"/>
      <c r="JRM64" s="6"/>
      <c r="JRN64" s="1"/>
      <c r="JRT64" s="2"/>
      <c r="JRU64" s="6"/>
      <c r="JRV64" s="1"/>
      <c r="JSB64" s="2"/>
      <c r="JSC64" s="6"/>
      <c r="JSD64" s="1"/>
      <c r="JSJ64" s="2"/>
      <c r="JSK64" s="6"/>
      <c r="JSL64" s="1"/>
      <c r="JSR64" s="2"/>
      <c r="JSS64" s="6"/>
      <c r="JST64" s="1"/>
      <c r="JSZ64" s="2"/>
      <c r="JTA64" s="6"/>
      <c r="JTB64" s="1"/>
      <c r="JTH64" s="2"/>
      <c r="JTI64" s="6"/>
      <c r="JTJ64" s="1"/>
      <c r="JTP64" s="2"/>
      <c r="JTQ64" s="6"/>
      <c r="JTR64" s="1"/>
      <c r="JTX64" s="2"/>
      <c r="JTY64" s="6"/>
      <c r="JTZ64" s="1"/>
      <c r="JUF64" s="2"/>
      <c r="JUG64" s="6"/>
      <c r="JUH64" s="1"/>
      <c r="JUN64" s="2"/>
      <c r="JUO64" s="6"/>
      <c r="JUP64" s="1"/>
      <c r="JUV64" s="2"/>
      <c r="JUW64" s="6"/>
      <c r="JUX64" s="1"/>
      <c r="JVD64" s="2"/>
      <c r="JVE64" s="6"/>
      <c r="JVF64" s="1"/>
      <c r="JVL64" s="2"/>
      <c r="JVM64" s="6"/>
      <c r="JVN64" s="1"/>
      <c r="JVT64" s="2"/>
      <c r="JVU64" s="6"/>
      <c r="JVV64" s="1"/>
      <c r="JWB64" s="2"/>
      <c r="JWC64" s="6"/>
      <c r="JWD64" s="1"/>
      <c r="JWJ64" s="2"/>
      <c r="JWK64" s="6"/>
      <c r="JWL64" s="1"/>
      <c r="JWR64" s="2"/>
      <c r="JWS64" s="6"/>
      <c r="JWT64" s="1"/>
      <c r="JWZ64" s="2"/>
      <c r="JXA64" s="6"/>
      <c r="JXB64" s="1"/>
      <c r="JXH64" s="2"/>
      <c r="JXI64" s="6"/>
      <c r="JXJ64" s="1"/>
      <c r="JXP64" s="2"/>
      <c r="JXQ64" s="6"/>
      <c r="JXR64" s="1"/>
      <c r="JXX64" s="2"/>
      <c r="JXY64" s="6"/>
      <c r="JXZ64" s="1"/>
      <c r="JYF64" s="2"/>
      <c r="JYG64" s="6"/>
      <c r="JYH64" s="1"/>
      <c r="JYN64" s="2"/>
      <c r="JYO64" s="6"/>
      <c r="JYP64" s="1"/>
      <c r="JYV64" s="2"/>
      <c r="JYW64" s="6"/>
      <c r="JYX64" s="1"/>
      <c r="JZD64" s="2"/>
      <c r="JZE64" s="6"/>
      <c r="JZF64" s="1"/>
      <c r="JZL64" s="2"/>
      <c r="JZM64" s="6"/>
      <c r="JZN64" s="1"/>
      <c r="JZT64" s="2"/>
      <c r="JZU64" s="6"/>
      <c r="JZV64" s="1"/>
      <c r="KAB64" s="2"/>
      <c r="KAC64" s="6"/>
      <c r="KAD64" s="1"/>
      <c r="KAJ64" s="2"/>
      <c r="KAK64" s="6"/>
      <c r="KAL64" s="1"/>
      <c r="KAR64" s="2"/>
      <c r="KAS64" s="6"/>
      <c r="KAT64" s="1"/>
      <c r="KAZ64" s="2"/>
      <c r="KBA64" s="6"/>
      <c r="KBB64" s="1"/>
      <c r="KBH64" s="2"/>
      <c r="KBI64" s="6"/>
      <c r="KBJ64" s="1"/>
      <c r="KBP64" s="2"/>
      <c r="KBQ64" s="6"/>
      <c r="KBR64" s="1"/>
      <c r="KBX64" s="2"/>
      <c r="KBY64" s="6"/>
      <c r="KBZ64" s="1"/>
      <c r="KCF64" s="2"/>
      <c r="KCG64" s="6"/>
      <c r="KCH64" s="1"/>
      <c r="KCN64" s="2"/>
      <c r="KCO64" s="6"/>
      <c r="KCP64" s="1"/>
      <c r="KCV64" s="2"/>
      <c r="KCW64" s="6"/>
      <c r="KCX64" s="1"/>
      <c r="KDD64" s="2"/>
      <c r="KDE64" s="6"/>
      <c r="KDF64" s="1"/>
      <c r="KDL64" s="2"/>
      <c r="KDM64" s="6"/>
      <c r="KDN64" s="1"/>
      <c r="KDT64" s="2"/>
      <c r="KDU64" s="6"/>
      <c r="KDV64" s="1"/>
      <c r="KEB64" s="2"/>
      <c r="KEC64" s="6"/>
      <c r="KED64" s="1"/>
      <c r="KEJ64" s="2"/>
      <c r="KEK64" s="6"/>
      <c r="KEL64" s="1"/>
      <c r="KER64" s="2"/>
      <c r="KES64" s="6"/>
      <c r="KET64" s="1"/>
      <c r="KEZ64" s="2"/>
      <c r="KFA64" s="6"/>
      <c r="KFB64" s="1"/>
      <c r="KFH64" s="2"/>
      <c r="KFI64" s="6"/>
      <c r="KFJ64" s="1"/>
      <c r="KFP64" s="2"/>
      <c r="KFQ64" s="6"/>
      <c r="KFR64" s="1"/>
      <c r="KFX64" s="2"/>
      <c r="KFY64" s="6"/>
      <c r="KFZ64" s="1"/>
      <c r="KGF64" s="2"/>
      <c r="KGG64" s="6"/>
      <c r="KGH64" s="1"/>
      <c r="KGN64" s="2"/>
      <c r="KGO64" s="6"/>
      <c r="KGP64" s="1"/>
      <c r="KGV64" s="2"/>
      <c r="KGW64" s="6"/>
      <c r="KGX64" s="1"/>
      <c r="KHD64" s="2"/>
      <c r="KHE64" s="6"/>
      <c r="KHF64" s="1"/>
      <c r="KHL64" s="2"/>
      <c r="KHM64" s="6"/>
      <c r="KHN64" s="1"/>
      <c r="KHT64" s="2"/>
      <c r="KHU64" s="6"/>
      <c r="KHV64" s="1"/>
      <c r="KIB64" s="2"/>
      <c r="KIC64" s="6"/>
      <c r="KID64" s="1"/>
      <c r="KIJ64" s="2"/>
      <c r="KIK64" s="6"/>
      <c r="KIL64" s="1"/>
      <c r="KIR64" s="2"/>
      <c r="KIS64" s="6"/>
      <c r="KIT64" s="1"/>
      <c r="KIZ64" s="2"/>
      <c r="KJA64" s="6"/>
      <c r="KJB64" s="1"/>
      <c r="KJH64" s="2"/>
      <c r="KJI64" s="6"/>
      <c r="KJJ64" s="1"/>
      <c r="KJP64" s="2"/>
      <c r="KJQ64" s="6"/>
      <c r="KJR64" s="1"/>
      <c r="KJX64" s="2"/>
      <c r="KJY64" s="6"/>
      <c r="KJZ64" s="1"/>
      <c r="KKF64" s="2"/>
      <c r="KKG64" s="6"/>
      <c r="KKH64" s="1"/>
      <c r="KKN64" s="2"/>
      <c r="KKO64" s="6"/>
      <c r="KKP64" s="1"/>
      <c r="KKV64" s="2"/>
      <c r="KKW64" s="6"/>
      <c r="KKX64" s="1"/>
      <c r="KLD64" s="2"/>
      <c r="KLE64" s="6"/>
      <c r="KLF64" s="1"/>
      <c r="KLL64" s="2"/>
      <c r="KLM64" s="6"/>
      <c r="KLN64" s="1"/>
      <c r="KLT64" s="2"/>
      <c r="KLU64" s="6"/>
      <c r="KLV64" s="1"/>
      <c r="KMB64" s="2"/>
      <c r="KMC64" s="6"/>
      <c r="KMD64" s="1"/>
      <c r="KMJ64" s="2"/>
      <c r="KMK64" s="6"/>
      <c r="KML64" s="1"/>
      <c r="KMR64" s="2"/>
      <c r="KMS64" s="6"/>
      <c r="KMT64" s="1"/>
      <c r="KMZ64" s="2"/>
      <c r="KNA64" s="6"/>
      <c r="KNB64" s="1"/>
      <c r="KNH64" s="2"/>
      <c r="KNI64" s="6"/>
      <c r="KNJ64" s="1"/>
      <c r="KNP64" s="2"/>
      <c r="KNQ64" s="6"/>
      <c r="KNR64" s="1"/>
      <c r="KNX64" s="2"/>
      <c r="KNY64" s="6"/>
      <c r="KNZ64" s="1"/>
      <c r="KOF64" s="2"/>
      <c r="KOG64" s="6"/>
      <c r="KOH64" s="1"/>
      <c r="KON64" s="2"/>
      <c r="KOO64" s="6"/>
      <c r="KOP64" s="1"/>
      <c r="KOV64" s="2"/>
      <c r="KOW64" s="6"/>
      <c r="KOX64" s="1"/>
      <c r="KPD64" s="2"/>
      <c r="KPE64" s="6"/>
      <c r="KPF64" s="1"/>
      <c r="KPL64" s="2"/>
      <c r="KPM64" s="6"/>
      <c r="KPN64" s="1"/>
      <c r="KPT64" s="2"/>
      <c r="KPU64" s="6"/>
      <c r="KPV64" s="1"/>
      <c r="KQB64" s="2"/>
      <c r="KQC64" s="6"/>
      <c r="KQD64" s="1"/>
      <c r="KQJ64" s="2"/>
      <c r="KQK64" s="6"/>
      <c r="KQL64" s="1"/>
      <c r="KQR64" s="2"/>
      <c r="KQS64" s="6"/>
      <c r="KQT64" s="1"/>
      <c r="KQZ64" s="2"/>
      <c r="KRA64" s="6"/>
      <c r="KRB64" s="1"/>
      <c r="KRH64" s="2"/>
      <c r="KRI64" s="6"/>
      <c r="KRJ64" s="1"/>
      <c r="KRP64" s="2"/>
      <c r="KRQ64" s="6"/>
      <c r="KRR64" s="1"/>
      <c r="KRX64" s="2"/>
      <c r="KRY64" s="6"/>
      <c r="KRZ64" s="1"/>
      <c r="KSF64" s="2"/>
      <c r="KSG64" s="6"/>
      <c r="KSH64" s="1"/>
      <c r="KSN64" s="2"/>
      <c r="KSO64" s="6"/>
      <c r="KSP64" s="1"/>
      <c r="KSV64" s="2"/>
      <c r="KSW64" s="6"/>
      <c r="KSX64" s="1"/>
      <c r="KTD64" s="2"/>
      <c r="KTE64" s="6"/>
      <c r="KTF64" s="1"/>
      <c r="KTL64" s="2"/>
      <c r="KTM64" s="6"/>
      <c r="KTN64" s="1"/>
      <c r="KTT64" s="2"/>
      <c r="KTU64" s="6"/>
      <c r="KTV64" s="1"/>
      <c r="KUB64" s="2"/>
      <c r="KUC64" s="6"/>
      <c r="KUD64" s="1"/>
      <c r="KUJ64" s="2"/>
      <c r="KUK64" s="6"/>
      <c r="KUL64" s="1"/>
      <c r="KUR64" s="2"/>
      <c r="KUS64" s="6"/>
      <c r="KUT64" s="1"/>
      <c r="KUZ64" s="2"/>
      <c r="KVA64" s="6"/>
      <c r="KVB64" s="1"/>
      <c r="KVH64" s="2"/>
      <c r="KVI64" s="6"/>
      <c r="KVJ64" s="1"/>
      <c r="KVP64" s="2"/>
      <c r="KVQ64" s="6"/>
      <c r="KVR64" s="1"/>
      <c r="KVX64" s="2"/>
      <c r="KVY64" s="6"/>
      <c r="KVZ64" s="1"/>
      <c r="KWF64" s="2"/>
      <c r="KWG64" s="6"/>
      <c r="KWH64" s="1"/>
      <c r="KWN64" s="2"/>
      <c r="KWO64" s="6"/>
      <c r="KWP64" s="1"/>
      <c r="KWV64" s="2"/>
      <c r="KWW64" s="6"/>
      <c r="KWX64" s="1"/>
      <c r="KXD64" s="2"/>
      <c r="KXE64" s="6"/>
      <c r="KXF64" s="1"/>
      <c r="KXL64" s="2"/>
      <c r="KXM64" s="6"/>
      <c r="KXN64" s="1"/>
      <c r="KXT64" s="2"/>
      <c r="KXU64" s="6"/>
      <c r="KXV64" s="1"/>
      <c r="KYB64" s="2"/>
      <c r="KYC64" s="6"/>
      <c r="KYD64" s="1"/>
      <c r="KYJ64" s="2"/>
      <c r="KYK64" s="6"/>
      <c r="KYL64" s="1"/>
      <c r="KYR64" s="2"/>
      <c r="KYS64" s="6"/>
      <c r="KYT64" s="1"/>
      <c r="KYZ64" s="2"/>
      <c r="KZA64" s="6"/>
      <c r="KZB64" s="1"/>
      <c r="KZH64" s="2"/>
      <c r="KZI64" s="6"/>
      <c r="KZJ64" s="1"/>
      <c r="KZP64" s="2"/>
      <c r="KZQ64" s="6"/>
      <c r="KZR64" s="1"/>
      <c r="KZX64" s="2"/>
      <c r="KZY64" s="6"/>
      <c r="KZZ64" s="1"/>
      <c r="LAF64" s="2"/>
      <c r="LAG64" s="6"/>
      <c r="LAH64" s="1"/>
      <c r="LAN64" s="2"/>
      <c r="LAO64" s="6"/>
      <c r="LAP64" s="1"/>
      <c r="LAV64" s="2"/>
      <c r="LAW64" s="6"/>
      <c r="LAX64" s="1"/>
      <c r="LBD64" s="2"/>
      <c r="LBE64" s="6"/>
      <c r="LBF64" s="1"/>
      <c r="LBL64" s="2"/>
      <c r="LBM64" s="6"/>
      <c r="LBN64" s="1"/>
      <c r="LBT64" s="2"/>
      <c r="LBU64" s="6"/>
      <c r="LBV64" s="1"/>
      <c r="LCB64" s="2"/>
      <c r="LCC64" s="6"/>
      <c r="LCD64" s="1"/>
      <c r="LCJ64" s="2"/>
      <c r="LCK64" s="6"/>
      <c r="LCL64" s="1"/>
      <c r="LCR64" s="2"/>
      <c r="LCS64" s="6"/>
      <c r="LCT64" s="1"/>
      <c r="LCZ64" s="2"/>
      <c r="LDA64" s="6"/>
      <c r="LDB64" s="1"/>
      <c r="LDH64" s="2"/>
      <c r="LDI64" s="6"/>
      <c r="LDJ64" s="1"/>
      <c r="LDP64" s="2"/>
      <c r="LDQ64" s="6"/>
      <c r="LDR64" s="1"/>
      <c r="LDX64" s="2"/>
      <c r="LDY64" s="6"/>
      <c r="LDZ64" s="1"/>
      <c r="LEF64" s="2"/>
      <c r="LEG64" s="6"/>
      <c r="LEH64" s="1"/>
      <c r="LEN64" s="2"/>
      <c r="LEO64" s="6"/>
      <c r="LEP64" s="1"/>
      <c r="LEV64" s="2"/>
      <c r="LEW64" s="6"/>
      <c r="LEX64" s="1"/>
      <c r="LFD64" s="2"/>
      <c r="LFE64" s="6"/>
      <c r="LFF64" s="1"/>
      <c r="LFL64" s="2"/>
      <c r="LFM64" s="6"/>
      <c r="LFN64" s="1"/>
      <c r="LFT64" s="2"/>
      <c r="LFU64" s="6"/>
      <c r="LFV64" s="1"/>
      <c r="LGB64" s="2"/>
      <c r="LGC64" s="6"/>
      <c r="LGD64" s="1"/>
      <c r="LGJ64" s="2"/>
      <c r="LGK64" s="6"/>
      <c r="LGL64" s="1"/>
      <c r="LGR64" s="2"/>
      <c r="LGS64" s="6"/>
      <c r="LGT64" s="1"/>
      <c r="LGZ64" s="2"/>
      <c r="LHA64" s="6"/>
      <c r="LHB64" s="1"/>
      <c r="LHH64" s="2"/>
      <c r="LHI64" s="6"/>
      <c r="LHJ64" s="1"/>
      <c r="LHP64" s="2"/>
      <c r="LHQ64" s="6"/>
      <c r="LHR64" s="1"/>
      <c r="LHX64" s="2"/>
      <c r="LHY64" s="6"/>
      <c r="LHZ64" s="1"/>
      <c r="LIF64" s="2"/>
      <c r="LIG64" s="6"/>
      <c r="LIH64" s="1"/>
      <c r="LIN64" s="2"/>
      <c r="LIO64" s="6"/>
      <c r="LIP64" s="1"/>
      <c r="LIV64" s="2"/>
      <c r="LIW64" s="6"/>
      <c r="LIX64" s="1"/>
      <c r="LJD64" s="2"/>
      <c r="LJE64" s="6"/>
      <c r="LJF64" s="1"/>
      <c r="LJL64" s="2"/>
      <c r="LJM64" s="6"/>
      <c r="LJN64" s="1"/>
      <c r="LJT64" s="2"/>
      <c r="LJU64" s="6"/>
      <c r="LJV64" s="1"/>
      <c r="LKB64" s="2"/>
      <c r="LKC64" s="6"/>
      <c r="LKD64" s="1"/>
      <c r="LKJ64" s="2"/>
      <c r="LKK64" s="6"/>
      <c r="LKL64" s="1"/>
      <c r="LKR64" s="2"/>
      <c r="LKS64" s="6"/>
      <c r="LKT64" s="1"/>
      <c r="LKZ64" s="2"/>
      <c r="LLA64" s="6"/>
      <c r="LLB64" s="1"/>
      <c r="LLH64" s="2"/>
      <c r="LLI64" s="6"/>
      <c r="LLJ64" s="1"/>
      <c r="LLP64" s="2"/>
      <c r="LLQ64" s="6"/>
      <c r="LLR64" s="1"/>
      <c r="LLX64" s="2"/>
      <c r="LLY64" s="6"/>
      <c r="LLZ64" s="1"/>
      <c r="LMF64" s="2"/>
      <c r="LMG64" s="6"/>
      <c r="LMH64" s="1"/>
      <c r="LMN64" s="2"/>
      <c r="LMO64" s="6"/>
      <c r="LMP64" s="1"/>
      <c r="LMV64" s="2"/>
      <c r="LMW64" s="6"/>
      <c r="LMX64" s="1"/>
      <c r="LND64" s="2"/>
      <c r="LNE64" s="6"/>
      <c r="LNF64" s="1"/>
      <c r="LNL64" s="2"/>
      <c r="LNM64" s="6"/>
      <c r="LNN64" s="1"/>
      <c r="LNT64" s="2"/>
      <c r="LNU64" s="6"/>
      <c r="LNV64" s="1"/>
      <c r="LOB64" s="2"/>
      <c r="LOC64" s="6"/>
      <c r="LOD64" s="1"/>
      <c r="LOJ64" s="2"/>
      <c r="LOK64" s="6"/>
      <c r="LOL64" s="1"/>
      <c r="LOR64" s="2"/>
      <c r="LOS64" s="6"/>
      <c r="LOT64" s="1"/>
      <c r="LOZ64" s="2"/>
      <c r="LPA64" s="6"/>
      <c r="LPB64" s="1"/>
      <c r="LPH64" s="2"/>
      <c r="LPI64" s="6"/>
      <c r="LPJ64" s="1"/>
      <c r="LPP64" s="2"/>
      <c r="LPQ64" s="6"/>
      <c r="LPR64" s="1"/>
      <c r="LPX64" s="2"/>
      <c r="LPY64" s="6"/>
      <c r="LPZ64" s="1"/>
      <c r="LQF64" s="2"/>
      <c r="LQG64" s="6"/>
      <c r="LQH64" s="1"/>
      <c r="LQN64" s="2"/>
      <c r="LQO64" s="6"/>
      <c r="LQP64" s="1"/>
      <c r="LQV64" s="2"/>
      <c r="LQW64" s="6"/>
      <c r="LQX64" s="1"/>
      <c r="LRD64" s="2"/>
      <c r="LRE64" s="6"/>
      <c r="LRF64" s="1"/>
      <c r="LRL64" s="2"/>
      <c r="LRM64" s="6"/>
      <c r="LRN64" s="1"/>
      <c r="LRT64" s="2"/>
      <c r="LRU64" s="6"/>
      <c r="LRV64" s="1"/>
      <c r="LSB64" s="2"/>
      <c r="LSC64" s="6"/>
      <c r="LSD64" s="1"/>
      <c r="LSJ64" s="2"/>
      <c r="LSK64" s="6"/>
      <c r="LSL64" s="1"/>
      <c r="LSR64" s="2"/>
      <c r="LSS64" s="6"/>
      <c r="LST64" s="1"/>
      <c r="LSZ64" s="2"/>
      <c r="LTA64" s="6"/>
      <c r="LTB64" s="1"/>
      <c r="LTH64" s="2"/>
      <c r="LTI64" s="6"/>
      <c r="LTJ64" s="1"/>
      <c r="LTP64" s="2"/>
      <c r="LTQ64" s="6"/>
      <c r="LTR64" s="1"/>
      <c r="LTX64" s="2"/>
      <c r="LTY64" s="6"/>
      <c r="LTZ64" s="1"/>
      <c r="LUF64" s="2"/>
      <c r="LUG64" s="6"/>
      <c r="LUH64" s="1"/>
      <c r="LUN64" s="2"/>
      <c r="LUO64" s="6"/>
      <c r="LUP64" s="1"/>
      <c r="LUV64" s="2"/>
      <c r="LUW64" s="6"/>
      <c r="LUX64" s="1"/>
      <c r="LVD64" s="2"/>
      <c r="LVE64" s="6"/>
      <c r="LVF64" s="1"/>
      <c r="LVL64" s="2"/>
      <c r="LVM64" s="6"/>
      <c r="LVN64" s="1"/>
      <c r="LVT64" s="2"/>
      <c r="LVU64" s="6"/>
      <c r="LVV64" s="1"/>
      <c r="LWB64" s="2"/>
      <c r="LWC64" s="6"/>
      <c r="LWD64" s="1"/>
      <c r="LWJ64" s="2"/>
      <c r="LWK64" s="6"/>
      <c r="LWL64" s="1"/>
      <c r="LWR64" s="2"/>
      <c r="LWS64" s="6"/>
      <c r="LWT64" s="1"/>
      <c r="LWZ64" s="2"/>
      <c r="LXA64" s="6"/>
      <c r="LXB64" s="1"/>
      <c r="LXH64" s="2"/>
      <c r="LXI64" s="6"/>
      <c r="LXJ64" s="1"/>
      <c r="LXP64" s="2"/>
      <c r="LXQ64" s="6"/>
      <c r="LXR64" s="1"/>
      <c r="LXX64" s="2"/>
      <c r="LXY64" s="6"/>
      <c r="LXZ64" s="1"/>
      <c r="LYF64" s="2"/>
      <c r="LYG64" s="6"/>
      <c r="LYH64" s="1"/>
      <c r="LYN64" s="2"/>
      <c r="LYO64" s="6"/>
      <c r="LYP64" s="1"/>
      <c r="LYV64" s="2"/>
      <c r="LYW64" s="6"/>
      <c r="LYX64" s="1"/>
      <c r="LZD64" s="2"/>
      <c r="LZE64" s="6"/>
      <c r="LZF64" s="1"/>
      <c r="LZL64" s="2"/>
      <c r="LZM64" s="6"/>
      <c r="LZN64" s="1"/>
      <c r="LZT64" s="2"/>
      <c r="LZU64" s="6"/>
      <c r="LZV64" s="1"/>
      <c r="MAB64" s="2"/>
      <c r="MAC64" s="6"/>
      <c r="MAD64" s="1"/>
      <c r="MAJ64" s="2"/>
      <c r="MAK64" s="6"/>
      <c r="MAL64" s="1"/>
      <c r="MAR64" s="2"/>
      <c r="MAS64" s="6"/>
      <c r="MAT64" s="1"/>
      <c r="MAZ64" s="2"/>
      <c r="MBA64" s="6"/>
      <c r="MBB64" s="1"/>
      <c r="MBH64" s="2"/>
      <c r="MBI64" s="6"/>
      <c r="MBJ64" s="1"/>
      <c r="MBP64" s="2"/>
      <c r="MBQ64" s="6"/>
      <c r="MBR64" s="1"/>
      <c r="MBX64" s="2"/>
      <c r="MBY64" s="6"/>
      <c r="MBZ64" s="1"/>
      <c r="MCF64" s="2"/>
      <c r="MCG64" s="6"/>
      <c r="MCH64" s="1"/>
      <c r="MCN64" s="2"/>
      <c r="MCO64" s="6"/>
      <c r="MCP64" s="1"/>
      <c r="MCV64" s="2"/>
      <c r="MCW64" s="6"/>
      <c r="MCX64" s="1"/>
      <c r="MDD64" s="2"/>
      <c r="MDE64" s="6"/>
      <c r="MDF64" s="1"/>
      <c r="MDL64" s="2"/>
      <c r="MDM64" s="6"/>
      <c r="MDN64" s="1"/>
      <c r="MDT64" s="2"/>
      <c r="MDU64" s="6"/>
      <c r="MDV64" s="1"/>
      <c r="MEB64" s="2"/>
      <c r="MEC64" s="6"/>
      <c r="MED64" s="1"/>
      <c r="MEJ64" s="2"/>
      <c r="MEK64" s="6"/>
      <c r="MEL64" s="1"/>
      <c r="MER64" s="2"/>
      <c r="MES64" s="6"/>
      <c r="MET64" s="1"/>
      <c r="MEZ64" s="2"/>
      <c r="MFA64" s="6"/>
      <c r="MFB64" s="1"/>
      <c r="MFH64" s="2"/>
      <c r="MFI64" s="6"/>
      <c r="MFJ64" s="1"/>
      <c r="MFP64" s="2"/>
      <c r="MFQ64" s="6"/>
      <c r="MFR64" s="1"/>
      <c r="MFX64" s="2"/>
      <c r="MFY64" s="6"/>
      <c r="MFZ64" s="1"/>
      <c r="MGF64" s="2"/>
      <c r="MGG64" s="6"/>
      <c r="MGH64" s="1"/>
      <c r="MGN64" s="2"/>
      <c r="MGO64" s="6"/>
      <c r="MGP64" s="1"/>
      <c r="MGV64" s="2"/>
      <c r="MGW64" s="6"/>
      <c r="MGX64" s="1"/>
      <c r="MHD64" s="2"/>
      <c r="MHE64" s="6"/>
      <c r="MHF64" s="1"/>
      <c r="MHL64" s="2"/>
      <c r="MHM64" s="6"/>
      <c r="MHN64" s="1"/>
      <c r="MHT64" s="2"/>
      <c r="MHU64" s="6"/>
      <c r="MHV64" s="1"/>
      <c r="MIB64" s="2"/>
      <c r="MIC64" s="6"/>
      <c r="MID64" s="1"/>
      <c r="MIJ64" s="2"/>
      <c r="MIK64" s="6"/>
      <c r="MIL64" s="1"/>
      <c r="MIR64" s="2"/>
      <c r="MIS64" s="6"/>
      <c r="MIT64" s="1"/>
      <c r="MIZ64" s="2"/>
      <c r="MJA64" s="6"/>
      <c r="MJB64" s="1"/>
      <c r="MJH64" s="2"/>
      <c r="MJI64" s="6"/>
      <c r="MJJ64" s="1"/>
      <c r="MJP64" s="2"/>
      <c r="MJQ64" s="6"/>
      <c r="MJR64" s="1"/>
      <c r="MJX64" s="2"/>
      <c r="MJY64" s="6"/>
      <c r="MJZ64" s="1"/>
      <c r="MKF64" s="2"/>
      <c r="MKG64" s="6"/>
      <c r="MKH64" s="1"/>
      <c r="MKN64" s="2"/>
      <c r="MKO64" s="6"/>
      <c r="MKP64" s="1"/>
      <c r="MKV64" s="2"/>
      <c r="MKW64" s="6"/>
      <c r="MKX64" s="1"/>
      <c r="MLD64" s="2"/>
      <c r="MLE64" s="6"/>
      <c r="MLF64" s="1"/>
      <c r="MLL64" s="2"/>
      <c r="MLM64" s="6"/>
      <c r="MLN64" s="1"/>
      <c r="MLT64" s="2"/>
      <c r="MLU64" s="6"/>
      <c r="MLV64" s="1"/>
      <c r="MMB64" s="2"/>
      <c r="MMC64" s="6"/>
      <c r="MMD64" s="1"/>
      <c r="MMJ64" s="2"/>
      <c r="MMK64" s="6"/>
      <c r="MML64" s="1"/>
      <c r="MMR64" s="2"/>
      <c r="MMS64" s="6"/>
      <c r="MMT64" s="1"/>
      <c r="MMZ64" s="2"/>
      <c r="MNA64" s="6"/>
      <c r="MNB64" s="1"/>
      <c r="MNH64" s="2"/>
      <c r="MNI64" s="6"/>
      <c r="MNJ64" s="1"/>
      <c r="MNP64" s="2"/>
      <c r="MNQ64" s="6"/>
      <c r="MNR64" s="1"/>
      <c r="MNX64" s="2"/>
      <c r="MNY64" s="6"/>
      <c r="MNZ64" s="1"/>
      <c r="MOF64" s="2"/>
      <c r="MOG64" s="6"/>
      <c r="MOH64" s="1"/>
      <c r="MON64" s="2"/>
      <c r="MOO64" s="6"/>
      <c r="MOP64" s="1"/>
      <c r="MOV64" s="2"/>
      <c r="MOW64" s="6"/>
      <c r="MOX64" s="1"/>
      <c r="MPD64" s="2"/>
      <c r="MPE64" s="6"/>
      <c r="MPF64" s="1"/>
      <c r="MPL64" s="2"/>
      <c r="MPM64" s="6"/>
      <c r="MPN64" s="1"/>
      <c r="MPT64" s="2"/>
      <c r="MPU64" s="6"/>
      <c r="MPV64" s="1"/>
      <c r="MQB64" s="2"/>
      <c r="MQC64" s="6"/>
      <c r="MQD64" s="1"/>
      <c r="MQJ64" s="2"/>
      <c r="MQK64" s="6"/>
      <c r="MQL64" s="1"/>
      <c r="MQR64" s="2"/>
      <c r="MQS64" s="6"/>
      <c r="MQT64" s="1"/>
      <c r="MQZ64" s="2"/>
      <c r="MRA64" s="6"/>
      <c r="MRB64" s="1"/>
      <c r="MRH64" s="2"/>
      <c r="MRI64" s="6"/>
      <c r="MRJ64" s="1"/>
      <c r="MRP64" s="2"/>
      <c r="MRQ64" s="6"/>
      <c r="MRR64" s="1"/>
      <c r="MRX64" s="2"/>
      <c r="MRY64" s="6"/>
      <c r="MRZ64" s="1"/>
      <c r="MSF64" s="2"/>
      <c r="MSG64" s="6"/>
      <c r="MSH64" s="1"/>
      <c r="MSN64" s="2"/>
      <c r="MSO64" s="6"/>
      <c r="MSP64" s="1"/>
      <c r="MSV64" s="2"/>
      <c r="MSW64" s="6"/>
      <c r="MSX64" s="1"/>
      <c r="MTD64" s="2"/>
      <c r="MTE64" s="6"/>
      <c r="MTF64" s="1"/>
      <c r="MTL64" s="2"/>
      <c r="MTM64" s="6"/>
      <c r="MTN64" s="1"/>
      <c r="MTT64" s="2"/>
      <c r="MTU64" s="6"/>
      <c r="MTV64" s="1"/>
      <c r="MUB64" s="2"/>
      <c r="MUC64" s="6"/>
      <c r="MUD64" s="1"/>
      <c r="MUJ64" s="2"/>
      <c r="MUK64" s="6"/>
      <c r="MUL64" s="1"/>
      <c r="MUR64" s="2"/>
      <c r="MUS64" s="6"/>
      <c r="MUT64" s="1"/>
      <c r="MUZ64" s="2"/>
      <c r="MVA64" s="6"/>
      <c r="MVB64" s="1"/>
      <c r="MVH64" s="2"/>
      <c r="MVI64" s="6"/>
      <c r="MVJ64" s="1"/>
      <c r="MVP64" s="2"/>
      <c r="MVQ64" s="6"/>
      <c r="MVR64" s="1"/>
      <c r="MVX64" s="2"/>
      <c r="MVY64" s="6"/>
      <c r="MVZ64" s="1"/>
      <c r="MWF64" s="2"/>
      <c r="MWG64" s="6"/>
      <c r="MWH64" s="1"/>
      <c r="MWN64" s="2"/>
      <c r="MWO64" s="6"/>
      <c r="MWP64" s="1"/>
      <c r="MWV64" s="2"/>
      <c r="MWW64" s="6"/>
      <c r="MWX64" s="1"/>
      <c r="MXD64" s="2"/>
      <c r="MXE64" s="6"/>
      <c r="MXF64" s="1"/>
      <c r="MXL64" s="2"/>
      <c r="MXM64" s="6"/>
      <c r="MXN64" s="1"/>
      <c r="MXT64" s="2"/>
      <c r="MXU64" s="6"/>
      <c r="MXV64" s="1"/>
      <c r="MYB64" s="2"/>
      <c r="MYC64" s="6"/>
      <c r="MYD64" s="1"/>
      <c r="MYJ64" s="2"/>
      <c r="MYK64" s="6"/>
      <c r="MYL64" s="1"/>
      <c r="MYR64" s="2"/>
      <c r="MYS64" s="6"/>
      <c r="MYT64" s="1"/>
      <c r="MYZ64" s="2"/>
      <c r="MZA64" s="6"/>
      <c r="MZB64" s="1"/>
      <c r="MZH64" s="2"/>
      <c r="MZI64" s="6"/>
      <c r="MZJ64" s="1"/>
      <c r="MZP64" s="2"/>
      <c r="MZQ64" s="6"/>
      <c r="MZR64" s="1"/>
      <c r="MZX64" s="2"/>
      <c r="MZY64" s="6"/>
      <c r="MZZ64" s="1"/>
      <c r="NAF64" s="2"/>
      <c r="NAG64" s="6"/>
      <c r="NAH64" s="1"/>
      <c r="NAN64" s="2"/>
      <c r="NAO64" s="6"/>
      <c r="NAP64" s="1"/>
      <c r="NAV64" s="2"/>
      <c r="NAW64" s="6"/>
      <c r="NAX64" s="1"/>
      <c r="NBD64" s="2"/>
      <c r="NBE64" s="6"/>
      <c r="NBF64" s="1"/>
      <c r="NBL64" s="2"/>
      <c r="NBM64" s="6"/>
      <c r="NBN64" s="1"/>
      <c r="NBT64" s="2"/>
      <c r="NBU64" s="6"/>
      <c r="NBV64" s="1"/>
      <c r="NCB64" s="2"/>
      <c r="NCC64" s="6"/>
      <c r="NCD64" s="1"/>
      <c r="NCJ64" s="2"/>
      <c r="NCK64" s="6"/>
      <c r="NCL64" s="1"/>
      <c r="NCR64" s="2"/>
      <c r="NCS64" s="6"/>
      <c r="NCT64" s="1"/>
      <c r="NCZ64" s="2"/>
      <c r="NDA64" s="6"/>
      <c r="NDB64" s="1"/>
      <c r="NDH64" s="2"/>
      <c r="NDI64" s="6"/>
      <c r="NDJ64" s="1"/>
      <c r="NDP64" s="2"/>
      <c r="NDQ64" s="6"/>
      <c r="NDR64" s="1"/>
      <c r="NDX64" s="2"/>
      <c r="NDY64" s="6"/>
      <c r="NDZ64" s="1"/>
      <c r="NEF64" s="2"/>
      <c r="NEG64" s="6"/>
      <c r="NEH64" s="1"/>
      <c r="NEN64" s="2"/>
      <c r="NEO64" s="6"/>
      <c r="NEP64" s="1"/>
      <c r="NEV64" s="2"/>
      <c r="NEW64" s="6"/>
      <c r="NEX64" s="1"/>
      <c r="NFD64" s="2"/>
      <c r="NFE64" s="6"/>
      <c r="NFF64" s="1"/>
      <c r="NFL64" s="2"/>
      <c r="NFM64" s="6"/>
      <c r="NFN64" s="1"/>
      <c r="NFT64" s="2"/>
      <c r="NFU64" s="6"/>
      <c r="NFV64" s="1"/>
      <c r="NGB64" s="2"/>
      <c r="NGC64" s="6"/>
      <c r="NGD64" s="1"/>
      <c r="NGJ64" s="2"/>
      <c r="NGK64" s="6"/>
      <c r="NGL64" s="1"/>
      <c r="NGR64" s="2"/>
      <c r="NGS64" s="6"/>
      <c r="NGT64" s="1"/>
      <c r="NGZ64" s="2"/>
      <c r="NHA64" s="6"/>
      <c r="NHB64" s="1"/>
      <c r="NHH64" s="2"/>
      <c r="NHI64" s="6"/>
      <c r="NHJ64" s="1"/>
      <c r="NHP64" s="2"/>
      <c r="NHQ64" s="6"/>
      <c r="NHR64" s="1"/>
      <c r="NHX64" s="2"/>
      <c r="NHY64" s="6"/>
      <c r="NHZ64" s="1"/>
      <c r="NIF64" s="2"/>
      <c r="NIG64" s="6"/>
      <c r="NIH64" s="1"/>
      <c r="NIN64" s="2"/>
      <c r="NIO64" s="6"/>
      <c r="NIP64" s="1"/>
      <c r="NIV64" s="2"/>
      <c r="NIW64" s="6"/>
      <c r="NIX64" s="1"/>
      <c r="NJD64" s="2"/>
      <c r="NJE64" s="6"/>
      <c r="NJF64" s="1"/>
      <c r="NJL64" s="2"/>
      <c r="NJM64" s="6"/>
      <c r="NJN64" s="1"/>
      <c r="NJT64" s="2"/>
      <c r="NJU64" s="6"/>
      <c r="NJV64" s="1"/>
      <c r="NKB64" s="2"/>
      <c r="NKC64" s="6"/>
      <c r="NKD64" s="1"/>
      <c r="NKJ64" s="2"/>
      <c r="NKK64" s="6"/>
      <c r="NKL64" s="1"/>
      <c r="NKR64" s="2"/>
      <c r="NKS64" s="6"/>
      <c r="NKT64" s="1"/>
      <c r="NKZ64" s="2"/>
      <c r="NLA64" s="6"/>
      <c r="NLB64" s="1"/>
      <c r="NLH64" s="2"/>
      <c r="NLI64" s="6"/>
      <c r="NLJ64" s="1"/>
      <c r="NLP64" s="2"/>
      <c r="NLQ64" s="6"/>
      <c r="NLR64" s="1"/>
      <c r="NLX64" s="2"/>
      <c r="NLY64" s="6"/>
      <c r="NLZ64" s="1"/>
      <c r="NMF64" s="2"/>
      <c r="NMG64" s="6"/>
      <c r="NMH64" s="1"/>
      <c r="NMN64" s="2"/>
      <c r="NMO64" s="6"/>
      <c r="NMP64" s="1"/>
      <c r="NMV64" s="2"/>
      <c r="NMW64" s="6"/>
      <c r="NMX64" s="1"/>
      <c r="NND64" s="2"/>
      <c r="NNE64" s="6"/>
      <c r="NNF64" s="1"/>
      <c r="NNL64" s="2"/>
      <c r="NNM64" s="6"/>
      <c r="NNN64" s="1"/>
      <c r="NNT64" s="2"/>
      <c r="NNU64" s="6"/>
      <c r="NNV64" s="1"/>
      <c r="NOB64" s="2"/>
      <c r="NOC64" s="6"/>
      <c r="NOD64" s="1"/>
      <c r="NOJ64" s="2"/>
      <c r="NOK64" s="6"/>
      <c r="NOL64" s="1"/>
      <c r="NOR64" s="2"/>
      <c r="NOS64" s="6"/>
      <c r="NOT64" s="1"/>
      <c r="NOZ64" s="2"/>
      <c r="NPA64" s="6"/>
      <c r="NPB64" s="1"/>
      <c r="NPH64" s="2"/>
      <c r="NPI64" s="6"/>
      <c r="NPJ64" s="1"/>
      <c r="NPP64" s="2"/>
      <c r="NPQ64" s="6"/>
      <c r="NPR64" s="1"/>
      <c r="NPX64" s="2"/>
      <c r="NPY64" s="6"/>
      <c r="NPZ64" s="1"/>
      <c r="NQF64" s="2"/>
      <c r="NQG64" s="6"/>
      <c r="NQH64" s="1"/>
      <c r="NQN64" s="2"/>
      <c r="NQO64" s="6"/>
      <c r="NQP64" s="1"/>
      <c r="NQV64" s="2"/>
      <c r="NQW64" s="6"/>
      <c r="NQX64" s="1"/>
      <c r="NRD64" s="2"/>
      <c r="NRE64" s="6"/>
      <c r="NRF64" s="1"/>
      <c r="NRL64" s="2"/>
      <c r="NRM64" s="6"/>
      <c r="NRN64" s="1"/>
      <c r="NRT64" s="2"/>
      <c r="NRU64" s="6"/>
      <c r="NRV64" s="1"/>
      <c r="NSB64" s="2"/>
      <c r="NSC64" s="6"/>
      <c r="NSD64" s="1"/>
      <c r="NSJ64" s="2"/>
      <c r="NSK64" s="6"/>
      <c r="NSL64" s="1"/>
      <c r="NSR64" s="2"/>
      <c r="NSS64" s="6"/>
      <c r="NST64" s="1"/>
      <c r="NSZ64" s="2"/>
      <c r="NTA64" s="6"/>
      <c r="NTB64" s="1"/>
      <c r="NTH64" s="2"/>
      <c r="NTI64" s="6"/>
      <c r="NTJ64" s="1"/>
      <c r="NTP64" s="2"/>
      <c r="NTQ64" s="6"/>
      <c r="NTR64" s="1"/>
      <c r="NTX64" s="2"/>
      <c r="NTY64" s="6"/>
      <c r="NTZ64" s="1"/>
      <c r="NUF64" s="2"/>
      <c r="NUG64" s="6"/>
      <c r="NUH64" s="1"/>
      <c r="NUN64" s="2"/>
      <c r="NUO64" s="6"/>
      <c r="NUP64" s="1"/>
      <c r="NUV64" s="2"/>
      <c r="NUW64" s="6"/>
      <c r="NUX64" s="1"/>
      <c r="NVD64" s="2"/>
      <c r="NVE64" s="6"/>
      <c r="NVF64" s="1"/>
      <c r="NVL64" s="2"/>
      <c r="NVM64" s="6"/>
      <c r="NVN64" s="1"/>
      <c r="NVT64" s="2"/>
      <c r="NVU64" s="6"/>
      <c r="NVV64" s="1"/>
      <c r="NWB64" s="2"/>
      <c r="NWC64" s="6"/>
      <c r="NWD64" s="1"/>
      <c r="NWJ64" s="2"/>
      <c r="NWK64" s="6"/>
      <c r="NWL64" s="1"/>
      <c r="NWR64" s="2"/>
      <c r="NWS64" s="6"/>
      <c r="NWT64" s="1"/>
      <c r="NWZ64" s="2"/>
      <c r="NXA64" s="6"/>
      <c r="NXB64" s="1"/>
      <c r="NXH64" s="2"/>
      <c r="NXI64" s="6"/>
      <c r="NXJ64" s="1"/>
      <c r="NXP64" s="2"/>
      <c r="NXQ64" s="6"/>
      <c r="NXR64" s="1"/>
      <c r="NXX64" s="2"/>
      <c r="NXY64" s="6"/>
      <c r="NXZ64" s="1"/>
      <c r="NYF64" s="2"/>
      <c r="NYG64" s="6"/>
      <c r="NYH64" s="1"/>
      <c r="NYN64" s="2"/>
      <c r="NYO64" s="6"/>
      <c r="NYP64" s="1"/>
      <c r="NYV64" s="2"/>
      <c r="NYW64" s="6"/>
      <c r="NYX64" s="1"/>
      <c r="NZD64" s="2"/>
      <c r="NZE64" s="6"/>
      <c r="NZF64" s="1"/>
      <c r="NZL64" s="2"/>
      <c r="NZM64" s="6"/>
      <c r="NZN64" s="1"/>
      <c r="NZT64" s="2"/>
      <c r="NZU64" s="6"/>
      <c r="NZV64" s="1"/>
      <c r="OAB64" s="2"/>
      <c r="OAC64" s="6"/>
      <c r="OAD64" s="1"/>
      <c r="OAJ64" s="2"/>
      <c r="OAK64" s="6"/>
      <c r="OAL64" s="1"/>
      <c r="OAR64" s="2"/>
      <c r="OAS64" s="6"/>
      <c r="OAT64" s="1"/>
      <c r="OAZ64" s="2"/>
      <c r="OBA64" s="6"/>
      <c r="OBB64" s="1"/>
      <c r="OBH64" s="2"/>
      <c r="OBI64" s="6"/>
      <c r="OBJ64" s="1"/>
      <c r="OBP64" s="2"/>
      <c r="OBQ64" s="6"/>
      <c r="OBR64" s="1"/>
      <c r="OBX64" s="2"/>
      <c r="OBY64" s="6"/>
      <c r="OBZ64" s="1"/>
      <c r="OCF64" s="2"/>
      <c r="OCG64" s="6"/>
      <c r="OCH64" s="1"/>
      <c r="OCN64" s="2"/>
      <c r="OCO64" s="6"/>
      <c r="OCP64" s="1"/>
      <c r="OCV64" s="2"/>
      <c r="OCW64" s="6"/>
      <c r="OCX64" s="1"/>
      <c r="ODD64" s="2"/>
      <c r="ODE64" s="6"/>
      <c r="ODF64" s="1"/>
      <c r="ODL64" s="2"/>
      <c r="ODM64" s="6"/>
      <c r="ODN64" s="1"/>
      <c r="ODT64" s="2"/>
      <c r="ODU64" s="6"/>
      <c r="ODV64" s="1"/>
      <c r="OEB64" s="2"/>
      <c r="OEC64" s="6"/>
      <c r="OED64" s="1"/>
      <c r="OEJ64" s="2"/>
      <c r="OEK64" s="6"/>
      <c r="OEL64" s="1"/>
      <c r="OER64" s="2"/>
      <c r="OES64" s="6"/>
      <c r="OET64" s="1"/>
      <c r="OEZ64" s="2"/>
      <c r="OFA64" s="6"/>
      <c r="OFB64" s="1"/>
      <c r="OFH64" s="2"/>
      <c r="OFI64" s="6"/>
      <c r="OFJ64" s="1"/>
      <c r="OFP64" s="2"/>
      <c r="OFQ64" s="6"/>
      <c r="OFR64" s="1"/>
      <c r="OFX64" s="2"/>
      <c r="OFY64" s="6"/>
      <c r="OFZ64" s="1"/>
      <c r="OGF64" s="2"/>
      <c r="OGG64" s="6"/>
      <c r="OGH64" s="1"/>
      <c r="OGN64" s="2"/>
      <c r="OGO64" s="6"/>
      <c r="OGP64" s="1"/>
      <c r="OGV64" s="2"/>
      <c r="OGW64" s="6"/>
      <c r="OGX64" s="1"/>
      <c r="OHD64" s="2"/>
      <c r="OHE64" s="6"/>
      <c r="OHF64" s="1"/>
      <c r="OHL64" s="2"/>
      <c r="OHM64" s="6"/>
      <c r="OHN64" s="1"/>
      <c r="OHT64" s="2"/>
      <c r="OHU64" s="6"/>
      <c r="OHV64" s="1"/>
      <c r="OIB64" s="2"/>
      <c r="OIC64" s="6"/>
      <c r="OID64" s="1"/>
      <c r="OIJ64" s="2"/>
      <c r="OIK64" s="6"/>
      <c r="OIL64" s="1"/>
      <c r="OIR64" s="2"/>
      <c r="OIS64" s="6"/>
      <c r="OIT64" s="1"/>
      <c r="OIZ64" s="2"/>
      <c r="OJA64" s="6"/>
      <c r="OJB64" s="1"/>
      <c r="OJH64" s="2"/>
      <c r="OJI64" s="6"/>
      <c r="OJJ64" s="1"/>
      <c r="OJP64" s="2"/>
      <c r="OJQ64" s="6"/>
      <c r="OJR64" s="1"/>
      <c r="OJX64" s="2"/>
      <c r="OJY64" s="6"/>
      <c r="OJZ64" s="1"/>
      <c r="OKF64" s="2"/>
      <c r="OKG64" s="6"/>
      <c r="OKH64" s="1"/>
      <c r="OKN64" s="2"/>
      <c r="OKO64" s="6"/>
      <c r="OKP64" s="1"/>
      <c r="OKV64" s="2"/>
      <c r="OKW64" s="6"/>
      <c r="OKX64" s="1"/>
      <c r="OLD64" s="2"/>
      <c r="OLE64" s="6"/>
      <c r="OLF64" s="1"/>
      <c r="OLL64" s="2"/>
      <c r="OLM64" s="6"/>
      <c r="OLN64" s="1"/>
      <c r="OLT64" s="2"/>
      <c r="OLU64" s="6"/>
      <c r="OLV64" s="1"/>
      <c r="OMB64" s="2"/>
      <c r="OMC64" s="6"/>
      <c r="OMD64" s="1"/>
      <c r="OMJ64" s="2"/>
      <c r="OMK64" s="6"/>
      <c r="OML64" s="1"/>
      <c r="OMR64" s="2"/>
      <c r="OMS64" s="6"/>
      <c r="OMT64" s="1"/>
      <c r="OMZ64" s="2"/>
      <c r="ONA64" s="6"/>
      <c r="ONB64" s="1"/>
      <c r="ONH64" s="2"/>
      <c r="ONI64" s="6"/>
      <c r="ONJ64" s="1"/>
      <c r="ONP64" s="2"/>
      <c r="ONQ64" s="6"/>
      <c r="ONR64" s="1"/>
      <c r="ONX64" s="2"/>
      <c r="ONY64" s="6"/>
      <c r="ONZ64" s="1"/>
      <c r="OOF64" s="2"/>
      <c r="OOG64" s="6"/>
      <c r="OOH64" s="1"/>
      <c r="OON64" s="2"/>
      <c r="OOO64" s="6"/>
      <c r="OOP64" s="1"/>
      <c r="OOV64" s="2"/>
      <c r="OOW64" s="6"/>
      <c r="OOX64" s="1"/>
      <c r="OPD64" s="2"/>
      <c r="OPE64" s="6"/>
      <c r="OPF64" s="1"/>
      <c r="OPL64" s="2"/>
      <c r="OPM64" s="6"/>
      <c r="OPN64" s="1"/>
      <c r="OPT64" s="2"/>
      <c r="OPU64" s="6"/>
      <c r="OPV64" s="1"/>
      <c r="OQB64" s="2"/>
      <c r="OQC64" s="6"/>
      <c r="OQD64" s="1"/>
      <c r="OQJ64" s="2"/>
      <c r="OQK64" s="6"/>
      <c r="OQL64" s="1"/>
      <c r="OQR64" s="2"/>
      <c r="OQS64" s="6"/>
      <c r="OQT64" s="1"/>
      <c r="OQZ64" s="2"/>
      <c r="ORA64" s="6"/>
      <c r="ORB64" s="1"/>
      <c r="ORH64" s="2"/>
      <c r="ORI64" s="6"/>
      <c r="ORJ64" s="1"/>
      <c r="ORP64" s="2"/>
      <c r="ORQ64" s="6"/>
      <c r="ORR64" s="1"/>
      <c r="ORX64" s="2"/>
      <c r="ORY64" s="6"/>
      <c r="ORZ64" s="1"/>
      <c r="OSF64" s="2"/>
      <c r="OSG64" s="6"/>
      <c r="OSH64" s="1"/>
      <c r="OSN64" s="2"/>
      <c r="OSO64" s="6"/>
      <c r="OSP64" s="1"/>
      <c r="OSV64" s="2"/>
      <c r="OSW64" s="6"/>
      <c r="OSX64" s="1"/>
      <c r="OTD64" s="2"/>
      <c r="OTE64" s="6"/>
      <c r="OTF64" s="1"/>
      <c r="OTL64" s="2"/>
      <c r="OTM64" s="6"/>
      <c r="OTN64" s="1"/>
      <c r="OTT64" s="2"/>
      <c r="OTU64" s="6"/>
      <c r="OTV64" s="1"/>
      <c r="OUB64" s="2"/>
      <c r="OUC64" s="6"/>
      <c r="OUD64" s="1"/>
      <c r="OUJ64" s="2"/>
      <c r="OUK64" s="6"/>
      <c r="OUL64" s="1"/>
      <c r="OUR64" s="2"/>
      <c r="OUS64" s="6"/>
      <c r="OUT64" s="1"/>
      <c r="OUZ64" s="2"/>
      <c r="OVA64" s="6"/>
      <c r="OVB64" s="1"/>
      <c r="OVH64" s="2"/>
      <c r="OVI64" s="6"/>
      <c r="OVJ64" s="1"/>
      <c r="OVP64" s="2"/>
      <c r="OVQ64" s="6"/>
      <c r="OVR64" s="1"/>
      <c r="OVX64" s="2"/>
      <c r="OVY64" s="6"/>
      <c r="OVZ64" s="1"/>
      <c r="OWF64" s="2"/>
      <c r="OWG64" s="6"/>
      <c r="OWH64" s="1"/>
      <c r="OWN64" s="2"/>
      <c r="OWO64" s="6"/>
      <c r="OWP64" s="1"/>
      <c r="OWV64" s="2"/>
      <c r="OWW64" s="6"/>
      <c r="OWX64" s="1"/>
      <c r="OXD64" s="2"/>
      <c r="OXE64" s="6"/>
      <c r="OXF64" s="1"/>
      <c r="OXL64" s="2"/>
      <c r="OXM64" s="6"/>
      <c r="OXN64" s="1"/>
      <c r="OXT64" s="2"/>
      <c r="OXU64" s="6"/>
      <c r="OXV64" s="1"/>
      <c r="OYB64" s="2"/>
      <c r="OYC64" s="6"/>
      <c r="OYD64" s="1"/>
      <c r="OYJ64" s="2"/>
      <c r="OYK64" s="6"/>
      <c r="OYL64" s="1"/>
      <c r="OYR64" s="2"/>
      <c r="OYS64" s="6"/>
      <c r="OYT64" s="1"/>
      <c r="OYZ64" s="2"/>
      <c r="OZA64" s="6"/>
      <c r="OZB64" s="1"/>
      <c r="OZH64" s="2"/>
      <c r="OZI64" s="6"/>
      <c r="OZJ64" s="1"/>
      <c r="OZP64" s="2"/>
      <c r="OZQ64" s="6"/>
      <c r="OZR64" s="1"/>
      <c r="OZX64" s="2"/>
      <c r="OZY64" s="6"/>
      <c r="OZZ64" s="1"/>
      <c r="PAF64" s="2"/>
      <c r="PAG64" s="6"/>
      <c r="PAH64" s="1"/>
      <c r="PAN64" s="2"/>
      <c r="PAO64" s="6"/>
      <c r="PAP64" s="1"/>
      <c r="PAV64" s="2"/>
      <c r="PAW64" s="6"/>
      <c r="PAX64" s="1"/>
      <c r="PBD64" s="2"/>
      <c r="PBE64" s="6"/>
      <c r="PBF64" s="1"/>
      <c r="PBL64" s="2"/>
      <c r="PBM64" s="6"/>
      <c r="PBN64" s="1"/>
      <c r="PBT64" s="2"/>
      <c r="PBU64" s="6"/>
      <c r="PBV64" s="1"/>
      <c r="PCB64" s="2"/>
      <c r="PCC64" s="6"/>
      <c r="PCD64" s="1"/>
      <c r="PCJ64" s="2"/>
      <c r="PCK64" s="6"/>
      <c r="PCL64" s="1"/>
      <c r="PCR64" s="2"/>
      <c r="PCS64" s="6"/>
      <c r="PCT64" s="1"/>
      <c r="PCZ64" s="2"/>
      <c r="PDA64" s="6"/>
      <c r="PDB64" s="1"/>
      <c r="PDH64" s="2"/>
      <c r="PDI64" s="6"/>
      <c r="PDJ64" s="1"/>
      <c r="PDP64" s="2"/>
      <c r="PDQ64" s="6"/>
      <c r="PDR64" s="1"/>
      <c r="PDX64" s="2"/>
      <c r="PDY64" s="6"/>
      <c r="PDZ64" s="1"/>
      <c r="PEF64" s="2"/>
      <c r="PEG64" s="6"/>
      <c r="PEH64" s="1"/>
      <c r="PEN64" s="2"/>
      <c r="PEO64" s="6"/>
      <c r="PEP64" s="1"/>
      <c r="PEV64" s="2"/>
      <c r="PEW64" s="6"/>
      <c r="PEX64" s="1"/>
      <c r="PFD64" s="2"/>
      <c r="PFE64" s="6"/>
      <c r="PFF64" s="1"/>
      <c r="PFL64" s="2"/>
      <c r="PFM64" s="6"/>
      <c r="PFN64" s="1"/>
      <c r="PFT64" s="2"/>
      <c r="PFU64" s="6"/>
      <c r="PFV64" s="1"/>
      <c r="PGB64" s="2"/>
      <c r="PGC64" s="6"/>
      <c r="PGD64" s="1"/>
      <c r="PGJ64" s="2"/>
      <c r="PGK64" s="6"/>
      <c r="PGL64" s="1"/>
      <c r="PGR64" s="2"/>
      <c r="PGS64" s="6"/>
      <c r="PGT64" s="1"/>
      <c r="PGZ64" s="2"/>
      <c r="PHA64" s="6"/>
      <c r="PHB64" s="1"/>
      <c r="PHH64" s="2"/>
      <c r="PHI64" s="6"/>
      <c r="PHJ64" s="1"/>
      <c r="PHP64" s="2"/>
      <c r="PHQ64" s="6"/>
      <c r="PHR64" s="1"/>
      <c r="PHX64" s="2"/>
      <c r="PHY64" s="6"/>
      <c r="PHZ64" s="1"/>
      <c r="PIF64" s="2"/>
      <c r="PIG64" s="6"/>
      <c r="PIH64" s="1"/>
      <c r="PIN64" s="2"/>
      <c r="PIO64" s="6"/>
      <c r="PIP64" s="1"/>
      <c r="PIV64" s="2"/>
      <c r="PIW64" s="6"/>
      <c r="PIX64" s="1"/>
      <c r="PJD64" s="2"/>
      <c r="PJE64" s="6"/>
      <c r="PJF64" s="1"/>
      <c r="PJL64" s="2"/>
      <c r="PJM64" s="6"/>
      <c r="PJN64" s="1"/>
      <c r="PJT64" s="2"/>
      <c r="PJU64" s="6"/>
      <c r="PJV64" s="1"/>
      <c r="PKB64" s="2"/>
      <c r="PKC64" s="6"/>
      <c r="PKD64" s="1"/>
      <c r="PKJ64" s="2"/>
      <c r="PKK64" s="6"/>
      <c r="PKL64" s="1"/>
      <c r="PKR64" s="2"/>
      <c r="PKS64" s="6"/>
      <c r="PKT64" s="1"/>
      <c r="PKZ64" s="2"/>
      <c r="PLA64" s="6"/>
      <c r="PLB64" s="1"/>
      <c r="PLH64" s="2"/>
      <c r="PLI64" s="6"/>
      <c r="PLJ64" s="1"/>
      <c r="PLP64" s="2"/>
      <c r="PLQ64" s="6"/>
      <c r="PLR64" s="1"/>
      <c r="PLX64" s="2"/>
      <c r="PLY64" s="6"/>
      <c r="PLZ64" s="1"/>
      <c r="PMF64" s="2"/>
      <c r="PMG64" s="6"/>
      <c r="PMH64" s="1"/>
      <c r="PMN64" s="2"/>
      <c r="PMO64" s="6"/>
      <c r="PMP64" s="1"/>
      <c r="PMV64" s="2"/>
      <c r="PMW64" s="6"/>
      <c r="PMX64" s="1"/>
      <c r="PND64" s="2"/>
      <c r="PNE64" s="6"/>
      <c r="PNF64" s="1"/>
      <c r="PNL64" s="2"/>
      <c r="PNM64" s="6"/>
      <c r="PNN64" s="1"/>
      <c r="PNT64" s="2"/>
      <c r="PNU64" s="6"/>
      <c r="PNV64" s="1"/>
      <c r="POB64" s="2"/>
      <c r="POC64" s="6"/>
      <c r="POD64" s="1"/>
      <c r="POJ64" s="2"/>
      <c r="POK64" s="6"/>
      <c r="POL64" s="1"/>
      <c r="POR64" s="2"/>
      <c r="POS64" s="6"/>
      <c r="POT64" s="1"/>
      <c r="POZ64" s="2"/>
      <c r="PPA64" s="6"/>
      <c r="PPB64" s="1"/>
      <c r="PPH64" s="2"/>
      <c r="PPI64" s="6"/>
      <c r="PPJ64" s="1"/>
      <c r="PPP64" s="2"/>
      <c r="PPQ64" s="6"/>
      <c r="PPR64" s="1"/>
      <c r="PPX64" s="2"/>
      <c r="PPY64" s="6"/>
      <c r="PPZ64" s="1"/>
      <c r="PQF64" s="2"/>
      <c r="PQG64" s="6"/>
      <c r="PQH64" s="1"/>
      <c r="PQN64" s="2"/>
      <c r="PQO64" s="6"/>
      <c r="PQP64" s="1"/>
      <c r="PQV64" s="2"/>
      <c r="PQW64" s="6"/>
      <c r="PQX64" s="1"/>
      <c r="PRD64" s="2"/>
      <c r="PRE64" s="6"/>
      <c r="PRF64" s="1"/>
      <c r="PRL64" s="2"/>
      <c r="PRM64" s="6"/>
      <c r="PRN64" s="1"/>
      <c r="PRT64" s="2"/>
      <c r="PRU64" s="6"/>
      <c r="PRV64" s="1"/>
      <c r="PSB64" s="2"/>
      <c r="PSC64" s="6"/>
      <c r="PSD64" s="1"/>
      <c r="PSJ64" s="2"/>
      <c r="PSK64" s="6"/>
      <c r="PSL64" s="1"/>
      <c r="PSR64" s="2"/>
      <c r="PSS64" s="6"/>
      <c r="PST64" s="1"/>
      <c r="PSZ64" s="2"/>
      <c r="PTA64" s="6"/>
      <c r="PTB64" s="1"/>
      <c r="PTH64" s="2"/>
      <c r="PTI64" s="6"/>
      <c r="PTJ64" s="1"/>
      <c r="PTP64" s="2"/>
      <c r="PTQ64" s="6"/>
      <c r="PTR64" s="1"/>
      <c r="PTX64" s="2"/>
      <c r="PTY64" s="6"/>
      <c r="PTZ64" s="1"/>
      <c r="PUF64" s="2"/>
      <c r="PUG64" s="6"/>
      <c r="PUH64" s="1"/>
      <c r="PUN64" s="2"/>
      <c r="PUO64" s="6"/>
      <c r="PUP64" s="1"/>
      <c r="PUV64" s="2"/>
      <c r="PUW64" s="6"/>
      <c r="PUX64" s="1"/>
      <c r="PVD64" s="2"/>
      <c r="PVE64" s="6"/>
      <c r="PVF64" s="1"/>
      <c r="PVL64" s="2"/>
      <c r="PVM64" s="6"/>
      <c r="PVN64" s="1"/>
      <c r="PVT64" s="2"/>
      <c r="PVU64" s="6"/>
      <c r="PVV64" s="1"/>
      <c r="PWB64" s="2"/>
      <c r="PWC64" s="6"/>
      <c r="PWD64" s="1"/>
      <c r="PWJ64" s="2"/>
      <c r="PWK64" s="6"/>
      <c r="PWL64" s="1"/>
      <c r="PWR64" s="2"/>
      <c r="PWS64" s="6"/>
      <c r="PWT64" s="1"/>
      <c r="PWZ64" s="2"/>
      <c r="PXA64" s="6"/>
      <c r="PXB64" s="1"/>
      <c r="PXH64" s="2"/>
      <c r="PXI64" s="6"/>
      <c r="PXJ64" s="1"/>
      <c r="PXP64" s="2"/>
      <c r="PXQ64" s="6"/>
      <c r="PXR64" s="1"/>
      <c r="PXX64" s="2"/>
      <c r="PXY64" s="6"/>
      <c r="PXZ64" s="1"/>
      <c r="PYF64" s="2"/>
      <c r="PYG64" s="6"/>
      <c r="PYH64" s="1"/>
      <c r="PYN64" s="2"/>
      <c r="PYO64" s="6"/>
      <c r="PYP64" s="1"/>
      <c r="PYV64" s="2"/>
      <c r="PYW64" s="6"/>
      <c r="PYX64" s="1"/>
      <c r="PZD64" s="2"/>
      <c r="PZE64" s="6"/>
      <c r="PZF64" s="1"/>
      <c r="PZL64" s="2"/>
      <c r="PZM64" s="6"/>
      <c r="PZN64" s="1"/>
      <c r="PZT64" s="2"/>
      <c r="PZU64" s="6"/>
      <c r="PZV64" s="1"/>
      <c r="QAB64" s="2"/>
      <c r="QAC64" s="6"/>
      <c r="QAD64" s="1"/>
      <c r="QAJ64" s="2"/>
      <c r="QAK64" s="6"/>
      <c r="QAL64" s="1"/>
      <c r="QAR64" s="2"/>
      <c r="QAS64" s="6"/>
      <c r="QAT64" s="1"/>
      <c r="QAZ64" s="2"/>
      <c r="QBA64" s="6"/>
      <c r="QBB64" s="1"/>
      <c r="QBH64" s="2"/>
      <c r="QBI64" s="6"/>
      <c r="QBJ64" s="1"/>
      <c r="QBP64" s="2"/>
      <c r="QBQ64" s="6"/>
      <c r="QBR64" s="1"/>
      <c r="QBX64" s="2"/>
      <c r="QBY64" s="6"/>
      <c r="QBZ64" s="1"/>
      <c r="QCF64" s="2"/>
      <c r="QCG64" s="6"/>
      <c r="QCH64" s="1"/>
      <c r="QCN64" s="2"/>
      <c r="QCO64" s="6"/>
      <c r="QCP64" s="1"/>
      <c r="QCV64" s="2"/>
      <c r="QCW64" s="6"/>
      <c r="QCX64" s="1"/>
      <c r="QDD64" s="2"/>
      <c r="QDE64" s="6"/>
      <c r="QDF64" s="1"/>
      <c r="QDL64" s="2"/>
      <c r="QDM64" s="6"/>
      <c r="QDN64" s="1"/>
      <c r="QDT64" s="2"/>
      <c r="QDU64" s="6"/>
      <c r="QDV64" s="1"/>
      <c r="QEB64" s="2"/>
      <c r="QEC64" s="6"/>
      <c r="QED64" s="1"/>
      <c r="QEJ64" s="2"/>
      <c r="QEK64" s="6"/>
      <c r="QEL64" s="1"/>
      <c r="QER64" s="2"/>
      <c r="QES64" s="6"/>
      <c r="QET64" s="1"/>
      <c r="QEZ64" s="2"/>
      <c r="QFA64" s="6"/>
      <c r="QFB64" s="1"/>
      <c r="QFH64" s="2"/>
      <c r="QFI64" s="6"/>
      <c r="QFJ64" s="1"/>
      <c r="QFP64" s="2"/>
      <c r="QFQ64" s="6"/>
      <c r="QFR64" s="1"/>
      <c r="QFX64" s="2"/>
      <c r="QFY64" s="6"/>
      <c r="QFZ64" s="1"/>
      <c r="QGF64" s="2"/>
      <c r="QGG64" s="6"/>
      <c r="QGH64" s="1"/>
      <c r="QGN64" s="2"/>
      <c r="QGO64" s="6"/>
      <c r="QGP64" s="1"/>
      <c r="QGV64" s="2"/>
      <c r="QGW64" s="6"/>
      <c r="QGX64" s="1"/>
      <c r="QHD64" s="2"/>
      <c r="QHE64" s="6"/>
      <c r="QHF64" s="1"/>
      <c r="QHL64" s="2"/>
      <c r="QHM64" s="6"/>
      <c r="QHN64" s="1"/>
      <c r="QHT64" s="2"/>
      <c r="QHU64" s="6"/>
      <c r="QHV64" s="1"/>
      <c r="QIB64" s="2"/>
      <c r="QIC64" s="6"/>
      <c r="QID64" s="1"/>
      <c r="QIJ64" s="2"/>
      <c r="QIK64" s="6"/>
      <c r="QIL64" s="1"/>
      <c r="QIR64" s="2"/>
      <c r="QIS64" s="6"/>
      <c r="QIT64" s="1"/>
      <c r="QIZ64" s="2"/>
      <c r="QJA64" s="6"/>
      <c r="QJB64" s="1"/>
      <c r="QJH64" s="2"/>
      <c r="QJI64" s="6"/>
      <c r="QJJ64" s="1"/>
      <c r="QJP64" s="2"/>
      <c r="QJQ64" s="6"/>
      <c r="QJR64" s="1"/>
      <c r="QJX64" s="2"/>
      <c r="QJY64" s="6"/>
      <c r="QJZ64" s="1"/>
      <c r="QKF64" s="2"/>
      <c r="QKG64" s="6"/>
      <c r="QKH64" s="1"/>
      <c r="QKN64" s="2"/>
      <c r="QKO64" s="6"/>
      <c r="QKP64" s="1"/>
      <c r="QKV64" s="2"/>
      <c r="QKW64" s="6"/>
      <c r="QKX64" s="1"/>
      <c r="QLD64" s="2"/>
      <c r="QLE64" s="6"/>
      <c r="QLF64" s="1"/>
      <c r="QLL64" s="2"/>
      <c r="QLM64" s="6"/>
      <c r="QLN64" s="1"/>
      <c r="QLT64" s="2"/>
      <c r="QLU64" s="6"/>
      <c r="QLV64" s="1"/>
      <c r="QMB64" s="2"/>
      <c r="QMC64" s="6"/>
      <c r="QMD64" s="1"/>
      <c r="QMJ64" s="2"/>
      <c r="QMK64" s="6"/>
      <c r="QML64" s="1"/>
      <c r="QMR64" s="2"/>
      <c r="QMS64" s="6"/>
      <c r="QMT64" s="1"/>
      <c r="QMZ64" s="2"/>
      <c r="QNA64" s="6"/>
      <c r="QNB64" s="1"/>
      <c r="QNH64" s="2"/>
      <c r="QNI64" s="6"/>
      <c r="QNJ64" s="1"/>
      <c r="QNP64" s="2"/>
      <c r="QNQ64" s="6"/>
      <c r="QNR64" s="1"/>
      <c r="QNX64" s="2"/>
      <c r="QNY64" s="6"/>
      <c r="QNZ64" s="1"/>
      <c r="QOF64" s="2"/>
      <c r="QOG64" s="6"/>
      <c r="QOH64" s="1"/>
      <c r="QON64" s="2"/>
      <c r="QOO64" s="6"/>
      <c r="QOP64" s="1"/>
      <c r="QOV64" s="2"/>
      <c r="QOW64" s="6"/>
      <c r="QOX64" s="1"/>
      <c r="QPD64" s="2"/>
      <c r="QPE64" s="6"/>
      <c r="QPF64" s="1"/>
      <c r="QPL64" s="2"/>
      <c r="QPM64" s="6"/>
      <c r="QPN64" s="1"/>
      <c r="QPT64" s="2"/>
      <c r="QPU64" s="6"/>
      <c r="QPV64" s="1"/>
      <c r="QQB64" s="2"/>
      <c r="QQC64" s="6"/>
      <c r="QQD64" s="1"/>
      <c r="QQJ64" s="2"/>
      <c r="QQK64" s="6"/>
      <c r="QQL64" s="1"/>
      <c r="QQR64" s="2"/>
      <c r="QQS64" s="6"/>
      <c r="QQT64" s="1"/>
      <c r="QQZ64" s="2"/>
      <c r="QRA64" s="6"/>
      <c r="QRB64" s="1"/>
      <c r="QRH64" s="2"/>
      <c r="QRI64" s="6"/>
      <c r="QRJ64" s="1"/>
      <c r="QRP64" s="2"/>
      <c r="QRQ64" s="6"/>
      <c r="QRR64" s="1"/>
      <c r="QRX64" s="2"/>
      <c r="QRY64" s="6"/>
      <c r="QRZ64" s="1"/>
      <c r="QSF64" s="2"/>
      <c r="QSG64" s="6"/>
      <c r="QSH64" s="1"/>
      <c r="QSN64" s="2"/>
      <c r="QSO64" s="6"/>
      <c r="QSP64" s="1"/>
      <c r="QSV64" s="2"/>
      <c r="QSW64" s="6"/>
      <c r="QSX64" s="1"/>
      <c r="QTD64" s="2"/>
      <c r="QTE64" s="6"/>
      <c r="QTF64" s="1"/>
      <c r="QTL64" s="2"/>
      <c r="QTM64" s="6"/>
      <c r="QTN64" s="1"/>
      <c r="QTT64" s="2"/>
      <c r="QTU64" s="6"/>
      <c r="QTV64" s="1"/>
      <c r="QUB64" s="2"/>
      <c r="QUC64" s="6"/>
      <c r="QUD64" s="1"/>
      <c r="QUJ64" s="2"/>
      <c r="QUK64" s="6"/>
      <c r="QUL64" s="1"/>
      <c r="QUR64" s="2"/>
      <c r="QUS64" s="6"/>
      <c r="QUT64" s="1"/>
      <c r="QUZ64" s="2"/>
      <c r="QVA64" s="6"/>
      <c r="QVB64" s="1"/>
      <c r="QVH64" s="2"/>
      <c r="QVI64" s="6"/>
      <c r="QVJ64" s="1"/>
      <c r="QVP64" s="2"/>
      <c r="QVQ64" s="6"/>
      <c r="QVR64" s="1"/>
      <c r="QVX64" s="2"/>
      <c r="QVY64" s="6"/>
      <c r="QVZ64" s="1"/>
      <c r="QWF64" s="2"/>
      <c r="QWG64" s="6"/>
      <c r="QWH64" s="1"/>
      <c r="QWN64" s="2"/>
      <c r="QWO64" s="6"/>
      <c r="QWP64" s="1"/>
      <c r="QWV64" s="2"/>
      <c r="QWW64" s="6"/>
      <c r="QWX64" s="1"/>
      <c r="QXD64" s="2"/>
      <c r="QXE64" s="6"/>
      <c r="QXF64" s="1"/>
      <c r="QXL64" s="2"/>
      <c r="QXM64" s="6"/>
      <c r="QXN64" s="1"/>
      <c r="QXT64" s="2"/>
      <c r="QXU64" s="6"/>
      <c r="QXV64" s="1"/>
      <c r="QYB64" s="2"/>
      <c r="QYC64" s="6"/>
      <c r="QYD64" s="1"/>
      <c r="QYJ64" s="2"/>
      <c r="QYK64" s="6"/>
      <c r="QYL64" s="1"/>
      <c r="QYR64" s="2"/>
      <c r="QYS64" s="6"/>
      <c r="QYT64" s="1"/>
      <c r="QYZ64" s="2"/>
      <c r="QZA64" s="6"/>
      <c r="QZB64" s="1"/>
      <c r="QZH64" s="2"/>
      <c r="QZI64" s="6"/>
      <c r="QZJ64" s="1"/>
      <c r="QZP64" s="2"/>
      <c r="QZQ64" s="6"/>
      <c r="QZR64" s="1"/>
      <c r="QZX64" s="2"/>
      <c r="QZY64" s="6"/>
      <c r="QZZ64" s="1"/>
      <c r="RAF64" s="2"/>
      <c r="RAG64" s="6"/>
      <c r="RAH64" s="1"/>
      <c r="RAN64" s="2"/>
      <c r="RAO64" s="6"/>
      <c r="RAP64" s="1"/>
      <c r="RAV64" s="2"/>
      <c r="RAW64" s="6"/>
      <c r="RAX64" s="1"/>
      <c r="RBD64" s="2"/>
      <c r="RBE64" s="6"/>
      <c r="RBF64" s="1"/>
      <c r="RBL64" s="2"/>
      <c r="RBM64" s="6"/>
      <c r="RBN64" s="1"/>
      <c r="RBT64" s="2"/>
      <c r="RBU64" s="6"/>
      <c r="RBV64" s="1"/>
      <c r="RCB64" s="2"/>
      <c r="RCC64" s="6"/>
      <c r="RCD64" s="1"/>
      <c r="RCJ64" s="2"/>
      <c r="RCK64" s="6"/>
      <c r="RCL64" s="1"/>
      <c r="RCR64" s="2"/>
      <c r="RCS64" s="6"/>
      <c r="RCT64" s="1"/>
      <c r="RCZ64" s="2"/>
      <c r="RDA64" s="6"/>
      <c r="RDB64" s="1"/>
      <c r="RDH64" s="2"/>
      <c r="RDI64" s="6"/>
      <c r="RDJ64" s="1"/>
      <c r="RDP64" s="2"/>
      <c r="RDQ64" s="6"/>
      <c r="RDR64" s="1"/>
      <c r="RDX64" s="2"/>
      <c r="RDY64" s="6"/>
      <c r="RDZ64" s="1"/>
      <c r="REF64" s="2"/>
      <c r="REG64" s="6"/>
      <c r="REH64" s="1"/>
      <c r="REN64" s="2"/>
      <c r="REO64" s="6"/>
      <c r="REP64" s="1"/>
      <c r="REV64" s="2"/>
      <c r="REW64" s="6"/>
      <c r="REX64" s="1"/>
      <c r="RFD64" s="2"/>
      <c r="RFE64" s="6"/>
      <c r="RFF64" s="1"/>
      <c r="RFL64" s="2"/>
      <c r="RFM64" s="6"/>
      <c r="RFN64" s="1"/>
      <c r="RFT64" s="2"/>
      <c r="RFU64" s="6"/>
      <c r="RFV64" s="1"/>
      <c r="RGB64" s="2"/>
      <c r="RGC64" s="6"/>
      <c r="RGD64" s="1"/>
      <c r="RGJ64" s="2"/>
      <c r="RGK64" s="6"/>
      <c r="RGL64" s="1"/>
      <c r="RGR64" s="2"/>
      <c r="RGS64" s="6"/>
      <c r="RGT64" s="1"/>
      <c r="RGZ64" s="2"/>
      <c r="RHA64" s="6"/>
      <c r="RHB64" s="1"/>
      <c r="RHH64" s="2"/>
      <c r="RHI64" s="6"/>
      <c r="RHJ64" s="1"/>
      <c r="RHP64" s="2"/>
      <c r="RHQ64" s="6"/>
      <c r="RHR64" s="1"/>
      <c r="RHX64" s="2"/>
      <c r="RHY64" s="6"/>
      <c r="RHZ64" s="1"/>
      <c r="RIF64" s="2"/>
      <c r="RIG64" s="6"/>
      <c r="RIH64" s="1"/>
      <c r="RIN64" s="2"/>
      <c r="RIO64" s="6"/>
      <c r="RIP64" s="1"/>
      <c r="RIV64" s="2"/>
      <c r="RIW64" s="6"/>
      <c r="RIX64" s="1"/>
      <c r="RJD64" s="2"/>
      <c r="RJE64" s="6"/>
      <c r="RJF64" s="1"/>
      <c r="RJL64" s="2"/>
      <c r="RJM64" s="6"/>
      <c r="RJN64" s="1"/>
      <c r="RJT64" s="2"/>
      <c r="RJU64" s="6"/>
      <c r="RJV64" s="1"/>
      <c r="RKB64" s="2"/>
      <c r="RKC64" s="6"/>
      <c r="RKD64" s="1"/>
      <c r="RKJ64" s="2"/>
      <c r="RKK64" s="6"/>
      <c r="RKL64" s="1"/>
      <c r="RKR64" s="2"/>
      <c r="RKS64" s="6"/>
      <c r="RKT64" s="1"/>
      <c r="RKZ64" s="2"/>
      <c r="RLA64" s="6"/>
      <c r="RLB64" s="1"/>
      <c r="RLH64" s="2"/>
      <c r="RLI64" s="6"/>
      <c r="RLJ64" s="1"/>
      <c r="RLP64" s="2"/>
      <c r="RLQ64" s="6"/>
      <c r="RLR64" s="1"/>
      <c r="RLX64" s="2"/>
      <c r="RLY64" s="6"/>
      <c r="RLZ64" s="1"/>
      <c r="RMF64" s="2"/>
      <c r="RMG64" s="6"/>
      <c r="RMH64" s="1"/>
      <c r="RMN64" s="2"/>
      <c r="RMO64" s="6"/>
      <c r="RMP64" s="1"/>
      <c r="RMV64" s="2"/>
      <c r="RMW64" s="6"/>
      <c r="RMX64" s="1"/>
      <c r="RND64" s="2"/>
      <c r="RNE64" s="6"/>
      <c r="RNF64" s="1"/>
      <c r="RNL64" s="2"/>
      <c r="RNM64" s="6"/>
      <c r="RNN64" s="1"/>
      <c r="RNT64" s="2"/>
      <c r="RNU64" s="6"/>
      <c r="RNV64" s="1"/>
      <c r="ROB64" s="2"/>
      <c r="ROC64" s="6"/>
      <c r="ROD64" s="1"/>
      <c r="ROJ64" s="2"/>
      <c r="ROK64" s="6"/>
      <c r="ROL64" s="1"/>
      <c r="ROR64" s="2"/>
      <c r="ROS64" s="6"/>
      <c r="ROT64" s="1"/>
      <c r="ROZ64" s="2"/>
      <c r="RPA64" s="6"/>
      <c r="RPB64" s="1"/>
      <c r="RPH64" s="2"/>
      <c r="RPI64" s="6"/>
      <c r="RPJ64" s="1"/>
      <c r="RPP64" s="2"/>
      <c r="RPQ64" s="6"/>
      <c r="RPR64" s="1"/>
      <c r="RPX64" s="2"/>
      <c r="RPY64" s="6"/>
      <c r="RPZ64" s="1"/>
      <c r="RQF64" s="2"/>
      <c r="RQG64" s="6"/>
      <c r="RQH64" s="1"/>
      <c r="RQN64" s="2"/>
      <c r="RQO64" s="6"/>
      <c r="RQP64" s="1"/>
      <c r="RQV64" s="2"/>
      <c r="RQW64" s="6"/>
      <c r="RQX64" s="1"/>
      <c r="RRD64" s="2"/>
      <c r="RRE64" s="6"/>
      <c r="RRF64" s="1"/>
      <c r="RRL64" s="2"/>
      <c r="RRM64" s="6"/>
      <c r="RRN64" s="1"/>
      <c r="RRT64" s="2"/>
      <c r="RRU64" s="6"/>
      <c r="RRV64" s="1"/>
      <c r="RSB64" s="2"/>
      <c r="RSC64" s="6"/>
      <c r="RSD64" s="1"/>
      <c r="RSJ64" s="2"/>
      <c r="RSK64" s="6"/>
      <c r="RSL64" s="1"/>
      <c r="RSR64" s="2"/>
      <c r="RSS64" s="6"/>
      <c r="RST64" s="1"/>
      <c r="RSZ64" s="2"/>
      <c r="RTA64" s="6"/>
      <c r="RTB64" s="1"/>
      <c r="RTH64" s="2"/>
      <c r="RTI64" s="6"/>
      <c r="RTJ64" s="1"/>
      <c r="RTP64" s="2"/>
      <c r="RTQ64" s="6"/>
      <c r="RTR64" s="1"/>
      <c r="RTX64" s="2"/>
      <c r="RTY64" s="6"/>
      <c r="RTZ64" s="1"/>
      <c r="RUF64" s="2"/>
      <c r="RUG64" s="6"/>
      <c r="RUH64" s="1"/>
      <c r="RUN64" s="2"/>
      <c r="RUO64" s="6"/>
      <c r="RUP64" s="1"/>
      <c r="RUV64" s="2"/>
      <c r="RUW64" s="6"/>
      <c r="RUX64" s="1"/>
      <c r="RVD64" s="2"/>
      <c r="RVE64" s="6"/>
      <c r="RVF64" s="1"/>
      <c r="RVL64" s="2"/>
      <c r="RVM64" s="6"/>
      <c r="RVN64" s="1"/>
      <c r="RVT64" s="2"/>
      <c r="RVU64" s="6"/>
      <c r="RVV64" s="1"/>
      <c r="RWB64" s="2"/>
      <c r="RWC64" s="6"/>
      <c r="RWD64" s="1"/>
      <c r="RWJ64" s="2"/>
      <c r="RWK64" s="6"/>
      <c r="RWL64" s="1"/>
      <c r="RWR64" s="2"/>
      <c r="RWS64" s="6"/>
      <c r="RWT64" s="1"/>
      <c r="RWZ64" s="2"/>
      <c r="RXA64" s="6"/>
      <c r="RXB64" s="1"/>
      <c r="RXH64" s="2"/>
      <c r="RXI64" s="6"/>
      <c r="RXJ64" s="1"/>
      <c r="RXP64" s="2"/>
      <c r="RXQ64" s="6"/>
      <c r="RXR64" s="1"/>
      <c r="RXX64" s="2"/>
      <c r="RXY64" s="6"/>
      <c r="RXZ64" s="1"/>
      <c r="RYF64" s="2"/>
      <c r="RYG64" s="6"/>
      <c r="RYH64" s="1"/>
      <c r="RYN64" s="2"/>
      <c r="RYO64" s="6"/>
      <c r="RYP64" s="1"/>
      <c r="RYV64" s="2"/>
      <c r="RYW64" s="6"/>
      <c r="RYX64" s="1"/>
      <c r="RZD64" s="2"/>
      <c r="RZE64" s="6"/>
      <c r="RZF64" s="1"/>
      <c r="RZL64" s="2"/>
      <c r="RZM64" s="6"/>
      <c r="RZN64" s="1"/>
      <c r="RZT64" s="2"/>
      <c r="RZU64" s="6"/>
      <c r="RZV64" s="1"/>
      <c r="SAB64" s="2"/>
      <c r="SAC64" s="6"/>
      <c r="SAD64" s="1"/>
      <c r="SAJ64" s="2"/>
      <c r="SAK64" s="6"/>
      <c r="SAL64" s="1"/>
      <c r="SAR64" s="2"/>
      <c r="SAS64" s="6"/>
      <c r="SAT64" s="1"/>
      <c r="SAZ64" s="2"/>
      <c r="SBA64" s="6"/>
      <c r="SBB64" s="1"/>
      <c r="SBH64" s="2"/>
      <c r="SBI64" s="6"/>
      <c r="SBJ64" s="1"/>
      <c r="SBP64" s="2"/>
      <c r="SBQ64" s="6"/>
      <c r="SBR64" s="1"/>
      <c r="SBX64" s="2"/>
      <c r="SBY64" s="6"/>
      <c r="SBZ64" s="1"/>
      <c r="SCF64" s="2"/>
      <c r="SCG64" s="6"/>
      <c r="SCH64" s="1"/>
      <c r="SCN64" s="2"/>
      <c r="SCO64" s="6"/>
      <c r="SCP64" s="1"/>
      <c r="SCV64" s="2"/>
      <c r="SCW64" s="6"/>
      <c r="SCX64" s="1"/>
      <c r="SDD64" s="2"/>
      <c r="SDE64" s="6"/>
      <c r="SDF64" s="1"/>
      <c r="SDL64" s="2"/>
      <c r="SDM64" s="6"/>
      <c r="SDN64" s="1"/>
      <c r="SDT64" s="2"/>
      <c r="SDU64" s="6"/>
      <c r="SDV64" s="1"/>
      <c r="SEB64" s="2"/>
      <c r="SEC64" s="6"/>
      <c r="SED64" s="1"/>
      <c r="SEJ64" s="2"/>
      <c r="SEK64" s="6"/>
      <c r="SEL64" s="1"/>
      <c r="SER64" s="2"/>
      <c r="SES64" s="6"/>
      <c r="SET64" s="1"/>
      <c r="SEZ64" s="2"/>
      <c r="SFA64" s="6"/>
      <c r="SFB64" s="1"/>
      <c r="SFH64" s="2"/>
      <c r="SFI64" s="6"/>
      <c r="SFJ64" s="1"/>
      <c r="SFP64" s="2"/>
      <c r="SFQ64" s="6"/>
      <c r="SFR64" s="1"/>
      <c r="SFX64" s="2"/>
      <c r="SFY64" s="6"/>
      <c r="SFZ64" s="1"/>
      <c r="SGF64" s="2"/>
      <c r="SGG64" s="6"/>
      <c r="SGH64" s="1"/>
      <c r="SGN64" s="2"/>
      <c r="SGO64" s="6"/>
      <c r="SGP64" s="1"/>
      <c r="SGV64" s="2"/>
      <c r="SGW64" s="6"/>
      <c r="SGX64" s="1"/>
      <c r="SHD64" s="2"/>
      <c r="SHE64" s="6"/>
      <c r="SHF64" s="1"/>
      <c r="SHL64" s="2"/>
      <c r="SHM64" s="6"/>
      <c r="SHN64" s="1"/>
      <c r="SHT64" s="2"/>
      <c r="SHU64" s="6"/>
      <c r="SHV64" s="1"/>
      <c r="SIB64" s="2"/>
      <c r="SIC64" s="6"/>
      <c r="SID64" s="1"/>
      <c r="SIJ64" s="2"/>
      <c r="SIK64" s="6"/>
      <c r="SIL64" s="1"/>
      <c r="SIR64" s="2"/>
      <c r="SIS64" s="6"/>
      <c r="SIT64" s="1"/>
      <c r="SIZ64" s="2"/>
      <c r="SJA64" s="6"/>
      <c r="SJB64" s="1"/>
      <c r="SJH64" s="2"/>
      <c r="SJI64" s="6"/>
      <c r="SJJ64" s="1"/>
      <c r="SJP64" s="2"/>
      <c r="SJQ64" s="6"/>
      <c r="SJR64" s="1"/>
      <c r="SJX64" s="2"/>
      <c r="SJY64" s="6"/>
      <c r="SJZ64" s="1"/>
      <c r="SKF64" s="2"/>
      <c r="SKG64" s="6"/>
      <c r="SKH64" s="1"/>
      <c r="SKN64" s="2"/>
      <c r="SKO64" s="6"/>
      <c r="SKP64" s="1"/>
      <c r="SKV64" s="2"/>
      <c r="SKW64" s="6"/>
      <c r="SKX64" s="1"/>
      <c r="SLD64" s="2"/>
      <c r="SLE64" s="6"/>
      <c r="SLF64" s="1"/>
      <c r="SLL64" s="2"/>
      <c r="SLM64" s="6"/>
      <c r="SLN64" s="1"/>
      <c r="SLT64" s="2"/>
      <c r="SLU64" s="6"/>
      <c r="SLV64" s="1"/>
      <c r="SMB64" s="2"/>
      <c r="SMC64" s="6"/>
      <c r="SMD64" s="1"/>
      <c r="SMJ64" s="2"/>
      <c r="SMK64" s="6"/>
      <c r="SML64" s="1"/>
      <c r="SMR64" s="2"/>
      <c r="SMS64" s="6"/>
      <c r="SMT64" s="1"/>
      <c r="SMZ64" s="2"/>
      <c r="SNA64" s="6"/>
      <c r="SNB64" s="1"/>
      <c r="SNH64" s="2"/>
      <c r="SNI64" s="6"/>
      <c r="SNJ64" s="1"/>
      <c r="SNP64" s="2"/>
      <c r="SNQ64" s="6"/>
      <c r="SNR64" s="1"/>
      <c r="SNX64" s="2"/>
      <c r="SNY64" s="6"/>
      <c r="SNZ64" s="1"/>
      <c r="SOF64" s="2"/>
      <c r="SOG64" s="6"/>
      <c r="SOH64" s="1"/>
      <c r="SON64" s="2"/>
      <c r="SOO64" s="6"/>
      <c r="SOP64" s="1"/>
      <c r="SOV64" s="2"/>
      <c r="SOW64" s="6"/>
      <c r="SOX64" s="1"/>
      <c r="SPD64" s="2"/>
      <c r="SPE64" s="6"/>
      <c r="SPF64" s="1"/>
      <c r="SPL64" s="2"/>
      <c r="SPM64" s="6"/>
      <c r="SPN64" s="1"/>
      <c r="SPT64" s="2"/>
      <c r="SPU64" s="6"/>
      <c r="SPV64" s="1"/>
      <c r="SQB64" s="2"/>
      <c r="SQC64" s="6"/>
      <c r="SQD64" s="1"/>
      <c r="SQJ64" s="2"/>
      <c r="SQK64" s="6"/>
      <c r="SQL64" s="1"/>
      <c r="SQR64" s="2"/>
      <c r="SQS64" s="6"/>
      <c r="SQT64" s="1"/>
      <c r="SQZ64" s="2"/>
      <c r="SRA64" s="6"/>
      <c r="SRB64" s="1"/>
      <c r="SRH64" s="2"/>
      <c r="SRI64" s="6"/>
      <c r="SRJ64" s="1"/>
      <c r="SRP64" s="2"/>
      <c r="SRQ64" s="6"/>
      <c r="SRR64" s="1"/>
      <c r="SRX64" s="2"/>
      <c r="SRY64" s="6"/>
      <c r="SRZ64" s="1"/>
      <c r="SSF64" s="2"/>
      <c r="SSG64" s="6"/>
      <c r="SSH64" s="1"/>
      <c r="SSN64" s="2"/>
      <c r="SSO64" s="6"/>
      <c r="SSP64" s="1"/>
      <c r="SSV64" s="2"/>
      <c r="SSW64" s="6"/>
      <c r="SSX64" s="1"/>
      <c r="STD64" s="2"/>
      <c r="STE64" s="6"/>
      <c r="STF64" s="1"/>
      <c r="STL64" s="2"/>
      <c r="STM64" s="6"/>
      <c r="STN64" s="1"/>
      <c r="STT64" s="2"/>
      <c r="STU64" s="6"/>
      <c r="STV64" s="1"/>
      <c r="SUB64" s="2"/>
      <c r="SUC64" s="6"/>
      <c r="SUD64" s="1"/>
      <c r="SUJ64" s="2"/>
      <c r="SUK64" s="6"/>
      <c r="SUL64" s="1"/>
      <c r="SUR64" s="2"/>
      <c r="SUS64" s="6"/>
      <c r="SUT64" s="1"/>
      <c r="SUZ64" s="2"/>
      <c r="SVA64" s="6"/>
      <c r="SVB64" s="1"/>
      <c r="SVH64" s="2"/>
      <c r="SVI64" s="6"/>
      <c r="SVJ64" s="1"/>
      <c r="SVP64" s="2"/>
      <c r="SVQ64" s="6"/>
      <c r="SVR64" s="1"/>
      <c r="SVX64" s="2"/>
      <c r="SVY64" s="6"/>
      <c r="SVZ64" s="1"/>
      <c r="SWF64" s="2"/>
      <c r="SWG64" s="6"/>
      <c r="SWH64" s="1"/>
      <c r="SWN64" s="2"/>
      <c r="SWO64" s="6"/>
      <c r="SWP64" s="1"/>
      <c r="SWV64" s="2"/>
      <c r="SWW64" s="6"/>
      <c r="SWX64" s="1"/>
      <c r="SXD64" s="2"/>
      <c r="SXE64" s="6"/>
      <c r="SXF64" s="1"/>
      <c r="SXL64" s="2"/>
      <c r="SXM64" s="6"/>
      <c r="SXN64" s="1"/>
      <c r="SXT64" s="2"/>
      <c r="SXU64" s="6"/>
      <c r="SXV64" s="1"/>
      <c r="SYB64" s="2"/>
      <c r="SYC64" s="6"/>
      <c r="SYD64" s="1"/>
      <c r="SYJ64" s="2"/>
      <c r="SYK64" s="6"/>
      <c r="SYL64" s="1"/>
      <c r="SYR64" s="2"/>
      <c r="SYS64" s="6"/>
      <c r="SYT64" s="1"/>
      <c r="SYZ64" s="2"/>
      <c r="SZA64" s="6"/>
      <c r="SZB64" s="1"/>
      <c r="SZH64" s="2"/>
      <c r="SZI64" s="6"/>
      <c r="SZJ64" s="1"/>
      <c r="SZP64" s="2"/>
      <c r="SZQ64" s="6"/>
      <c r="SZR64" s="1"/>
      <c r="SZX64" s="2"/>
      <c r="SZY64" s="6"/>
      <c r="SZZ64" s="1"/>
      <c r="TAF64" s="2"/>
      <c r="TAG64" s="6"/>
      <c r="TAH64" s="1"/>
      <c r="TAN64" s="2"/>
      <c r="TAO64" s="6"/>
      <c r="TAP64" s="1"/>
      <c r="TAV64" s="2"/>
      <c r="TAW64" s="6"/>
      <c r="TAX64" s="1"/>
      <c r="TBD64" s="2"/>
      <c r="TBE64" s="6"/>
      <c r="TBF64" s="1"/>
      <c r="TBL64" s="2"/>
      <c r="TBM64" s="6"/>
      <c r="TBN64" s="1"/>
      <c r="TBT64" s="2"/>
      <c r="TBU64" s="6"/>
      <c r="TBV64" s="1"/>
      <c r="TCB64" s="2"/>
      <c r="TCC64" s="6"/>
      <c r="TCD64" s="1"/>
      <c r="TCJ64" s="2"/>
      <c r="TCK64" s="6"/>
      <c r="TCL64" s="1"/>
      <c r="TCR64" s="2"/>
      <c r="TCS64" s="6"/>
      <c r="TCT64" s="1"/>
      <c r="TCZ64" s="2"/>
      <c r="TDA64" s="6"/>
      <c r="TDB64" s="1"/>
      <c r="TDH64" s="2"/>
      <c r="TDI64" s="6"/>
      <c r="TDJ64" s="1"/>
      <c r="TDP64" s="2"/>
      <c r="TDQ64" s="6"/>
      <c r="TDR64" s="1"/>
      <c r="TDX64" s="2"/>
      <c r="TDY64" s="6"/>
      <c r="TDZ64" s="1"/>
      <c r="TEF64" s="2"/>
      <c r="TEG64" s="6"/>
      <c r="TEH64" s="1"/>
      <c r="TEN64" s="2"/>
      <c r="TEO64" s="6"/>
      <c r="TEP64" s="1"/>
      <c r="TEV64" s="2"/>
      <c r="TEW64" s="6"/>
      <c r="TEX64" s="1"/>
      <c r="TFD64" s="2"/>
      <c r="TFE64" s="6"/>
      <c r="TFF64" s="1"/>
      <c r="TFL64" s="2"/>
      <c r="TFM64" s="6"/>
      <c r="TFN64" s="1"/>
      <c r="TFT64" s="2"/>
      <c r="TFU64" s="6"/>
      <c r="TFV64" s="1"/>
      <c r="TGB64" s="2"/>
      <c r="TGC64" s="6"/>
      <c r="TGD64" s="1"/>
      <c r="TGJ64" s="2"/>
      <c r="TGK64" s="6"/>
      <c r="TGL64" s="1"/>
      <c r="TGR64" s="2"/>
      <c r="TGS64" s="6"/>
      <c r="TGT64" s="1"/>
      <c r="TGZ64" s="2"/>
      <c r="THA64" s="6"/>
      <c r="THB64" s="1"/>
      <c r="THH64" s="2"/>
      <c r="THI64" s="6"/>
      <c r="THJ64" s="1"/>
      <c r="THP64" s="2"/>
      <c r="THQ64" s="6"/>
      <c r="THR64" s="1"/>
      <c r="THX64" s="2"/>
      <c r="THY64" s="6"/>
      <c r="THZ64" s="1"/>
      <c r="TIF64" s="2"/>
      <c r="TIG64" s="6"/>
      <c r="TIH64" s="1"/>
      <c r="TIN64" s="2"/>
      <c r="TIO64" s="6"/>
      <c r="TIP64" s="1"/>
      <c r="TIV64" s="2"/>
      <c r="TIW64" s="6"/>
      <c r="TIX64" s="1"/>
      <c r="TJD64" s="2"/>
      <c r="TJE64" s="6"/>
      <c r="TJF64" s="1"/>
      <c r="TJL64" s="2"/>
      <c r="TJM64" s="6"/>
      <c r="TJN64" s="1"/>
      <c r="TJT64" s="2"/>
      <c r="TJU64" s="6"/>
      <c r="TJV64" s="1"/>
      <c r="TKB64" s="2"/>
      <c r="TKC64" s="6"/>
      <c r="TKD64" s="1"/>
      <c r="TKJ64" s="2"/>
      <c r="TKK64" s="6"/>
      <c r="TKL64" s="1"/>
      <c r="TKR64" s="2"/>
      <c r="TKS64" s="6"/>
      <c r="TKT64" s="1"/>
      <c r="TKZ64" s="2"/>
      <c r="TLA64" s="6"/>
      <c r="TLB64" s="1"/>
      <c r="TLH64" s="2"/>
      <c r="TLI64" s="6"/>
      <c r="TLJ64" s="1"/>
      <c r="TLP64" s="2"/>
      <c r="TLQ64" s="6"/>
      <c r="TLR64" s="1"/>
      <c r="TLX64" s="2"/>
      <c r="TLY64" s="6"/>
      <c r="TLZ64" s="1"/>
      <c r="TMF64" s="2"/>
      <c r="TMG64" s="6"/>
      <c r="TMH64" s="1"/>
      <c r="TMN64" s="2"/>
      <c r="TMO64" s="6"/>
      <c r="TMP64" s="1"/>
      <c r="TMV64" s="2"/>
      <c r="TMW64" s="6"/>
      <c r="TMX64" s="1"/>
      <c r="TND64" s="2"/>
      <c r="TNE64" s="6"/>
      <c r="TNF64" s="1"/>
      <c r="TNL64" s="2"/>
      <c r="TNM64" s="6"/>
      <c r="TNN64" s="1"/>
      <c r="TNT64" s="2"/>
      <c r="TNU64" s="6"/>
      <c r="TNV64" s="1"/>
      <c r="TOB64" s="2"/>
      <c r="TOC64" s="6"/>
      <c r="TOD64" s="1"/>
      <c r="TOJ64" s="2"/>
      <c r="TOK64" s="6"/>
      <c r="TOL64" s="1"/>
      <c r="TOR64" s="2"/>
      <c r="TOS64" s="6"/>
      <c r="TOT64" s="1"/>
      <c r="TOZ64" s="2"/>
      <c r="TPA64" s="6"/>
      <c r="TPB64" s="1"/>
      <c r="TPH64" s="2"/>
      <c r="TPI64" s="6"/>
      <c r="TPJ64" s="1"/>
      <c r="TPP64" s="2"/>
      <c r="TPQ64" s="6"/>
      <c r="TPR64" s="1"/>
      <c r="TPX64" s="2"/>
      <c r="TPY64" s="6"/>
      <c r="TPZ64" s="1"/>
      <c r="TQF64" s="2"/>
      <c r="TQG64" s="6"/>
      <c r="TQH64" s="1"/>
      <c r="TQN64" s="2"/>
      <c r="TQO64" s="6"/>
      <c r="TQP64" s="1"/>
      <c r="TQV64" s="2"/>
      <c r="TQW64" s="6"/>
      <c r="TQX64" s="1"/>
      <c r="TRD64" s="2"/>
      <c r="TRE64" s="6"/>
      <c r="TRF64" s="1"/>
      <c r="TRL64" s="2"/>
      <c r="TRM64" s="6"/>
      <c r="TRN64" s="1"/>
      <c r="TRT64" s="2"/>
      <c r="TRU64" s="6"/>
      <c r="TRV64" s="1"/>
      <c r="TSB64" s="2"/>
      <c r="TSC64" s="6"/>
      <c r="TSD64" s="1"/>
      <c r="TSJ64" s="2"/>
      <c r="TSK64" s="6"/>
      <c r="TSL64" s="1"/>
      <c r="TSR64" s="2"/>
      <c r="TSS64" s="6"/>
      <c r="TST64" s="1"/>
      <c r="TSZ64" s="2"/>
      <c r="TTA64" s="6"/>
      <c r="TTB64" s="1"/>
      <c r="TTH64" s="2"/>
      <c r="TTI64" s="6"/>
      <c r="TTJ64" s="1"/>
      <c r="TTP64" s="2"/>
      <c r="TTQ64" s="6"/>
      <c r="TTR64" s="1"/>
      <c r="TTX64" s="2"/>
      <c r="TTY64" s="6"/>
      <c r="TTZ64" s="1"/>
      <c r="TUF64" s="2"/>
      <c r="TUG64" s="6"/>
      <c r="TUH64" s="1"/>
      <c r="TUN64" s="2"/>
      <c r="TUO64" s="6"/>
      <c r="TUP64" s="1"/>
      <c r="TUV64" s="2"/>
      <c r="TUW64" s="6"/>
      <c r="TUX64" s="1"/>
      <c r="TVD64" s="2"/>
      <c r="TVE64" s="6"/>
      <c r="TVF64" s="1"/>
      <c r="TVL64" s="2"/>
      <c r="TVM64" s="6"/>
      <c r="TVN64" s="1"/>
      <c r="TVT64" s="2"/>
      <c r="TVU64" s="6"/>
      <c r="TVV64" s="1"/>
      <c r="TWB64" s="2"/>
      <c r="TWC64" s="6"/>
      <c r="TWD64" s="1"/>
      <c r="TWJ64" s="2"/>
      <c r="TWK64" s="6"/>
      <c r="TWL64" s="1"/>
      <c r="TWR64" s="2"/>
      <c r="TWS64" s="6"/>
      <c r="TWT64" s="1"/>
      <c r="TWZ64" s="2"/>
      <c r="TXA64" s="6"/>
      <c r="TXB64" s="1"/>
      <c r="TXH64" s="2"/>
      <c r="TXI64" s="6"/>
      <c r="TXJ64" s="1"/>
      <c r="TXP64" s="2"/>
      <c r="TXQ64" s="6"/>
      <c r="TXR64" s="1"/>
      <c r="TXX64" s="2"/>
      <c r="TXY64" s="6"/>
      <c r="TXZ64" s="1"/>
      <c r="TYF64" s="2"/>
      <c r="TYG64" s="6"/>
      <c r="TYH64" s="1"/>
      <c r="TYN64" s="2"/>
      <c r="TYO64" s="6"/>
      <c r="TYP64" s="1"/>
      <c r="TYV64" s="2"/>
      <c r="TYW64" s="6"/>
      <c r="TYX64" s="1"/>
      <c r="TZD64" s="2"/>
      <c r="TZE64" s="6"/>
      <c r="TZF64" s="1"/>
      <c r="TZL64" s="2"/>
      <c r="TZM64" s="6"/>
      <c r="TZN64" s="1"/>
      <c r="TZT64" s="2"/>
      <c r="TZU64" s="6"/>
      <c r="TZV64" s="1"/>
      <c r="UAB64" s="2"/>
      <c r="UAC64" s="6"/>
      <c r="UAD64" s="1"/>
      <c r="UAJ64" s="2"/>
      <c r="UAK64" s="6"/>
      <c r="UAL64" s="1"/>
      <c r="UAR64" s="2"/>
      <c r="UAS64" s="6"/>
      <c r="UAT64" s="1"/>
      <c r="UAZ64" s="2"/>
      <c r="UBA64" s="6"/>
      <c r="UBB64" s="1"/>
      <c r="UBH64" s="2"/>
      <c r="UBI64" s="6"/>
      <c r="UBJ64" s="1"/>
      <c r="UBP64" s="2"/>
      <c r="UBQ64" s="6"/>
      <c r="UBR64" s="1"/>
      <c r="UBX64" s="2"/>
      <c r="UBY64" s="6"/>
      <c r="UBZ64" s="1"/>
      <c r="UCF64" s="2"/>
      <c r="UCG64" s="6"/>
      <c r="UCH64" s="1"/>
      <c r="UCN64" s="2"/>
      <c r="UCO64" s="6"/>
      <c r="UCP64" s="1"/>
      <c r="UCV64" s="2"/>
      <c r="UCW64" s="6"/>
      <c r="UCX64" s="1"/>
      <c r="UDD64" s="2"/>
      <c r="UDE64" s="6"/>
      <c r="UDF64" s="1"/>
      <c r="UDL64" s="2"/>
      <c r="UDM64" s="6"/>
      <c r="UDN64" s="1"/>
      <c r="UDT64" s="2"/>
      <c r="UDU64" s="6"/>
      <c r="UDV64" s="1"/>
      <c r="UEB64" s="2"/>
      <c r="UEC64" s="6"/>
      <c r="UED64" s="1"/>
      <c r="UEJ64" s="2"/>
      <c r="UEK64" s="6"/>
      <c r="UEL64" s="1"/>
      <c r="UER64" s="2"/>
      <c r="UES64" s="6"/>
      <c r="UET64" s="1"/>
      <c r="UEZ64" s="2"/>
      <c r="UFA64" s="6"/>
      <c r="UFB64" s="1"/>
      <c r="UFH64" s="2"/>
      <c r="UFI64" s="6"/>
      <c r="UFJ64" s="1"/>
      <c r="UFP64" s="2"/>
      <c r="UFQ64" s="6"/>
      <c r="UFR64" s="1"/>
      <c r="UFX64" s="2"/>
      <c r="UFY64" s="6"/>
      <c r="UFZ64" s="1"/>
      <c r="UGF64" s="2"/>
      <c r="UGG64" s="6"/>
      <c r="UGH64" s="1"/>
      <c r="UGN64" s="2"/>
      <c r="UGO64" s="6"/>
      <c r="UGP64" s="1"/>
      <c r="UGV64" s="2"/>
      <c r="UGW64" s="6"/>
      <c r="UGX64" s="1"/>
      <c r="UHD64" s="2"/>
      <c r="UHE64" s="6"/>
      <c r="UHF64" s="1"/>
      <c r="UHL64" s="2"/>
      <c r="UHM64" s="6"/>
      <c r="UHN64" s="1"/>
      <c r="UHT64" s="2"/>
      <c r="UHU64" s="6"/>
      <c r="UHV64" s="1"/>
      <c r="UIB64" s="2"/>
      <c r="UIC64" s="6"/>
      <c r="UID64" s="1"/>
      <c r="UIJ64" s="2"/>
      <c r="UIK64" s="6"/>
      <c r="UIL64" s="1"/>
      <c r="UIR64" s="2"/>
      <c r="UIS64" s="6"/>
      <c r="UIT64" s="1"/>
      <c r="UIZ64" s="2"/>
      <c r="UJA64" s="6"/>
      <c r="UJB64" s="1"/>
      <c r="UJH64" s="2"/>
      <c r="UJI64" s="6"/>
      <c r="UJJ64" s="1"/>
      <c r="UJP64" s="2"/>
      <c r="UJQ64" s="6"/>
      <c r="UJR64" s="1"/>
      <c r="UJX64" s="2"/>
      <c r="UJY64" s="6"/>
      <c r="UJZ64" s="1"/>
      <c r="UKF64" s="2"/>
      <c r="UKG64" s="6"/>
      <c r="UKH64" s="1"/>
      <c r="UKN64" s="2"/>
      <c r="UKO64" s="6"/>
      <c r="UKP64" s="1"/>
      <c r="UKV64" s="2"/>
      <c r="UKW64" s="6"/>
      <c r="UKX64" s="1"/>
      <c r="ULD64" s="2"/>
      <c r="ULE64" s="6"/>
      <c r="ULF64" s="1"/>
      <c r="ULL64" s="2"/>
      <c r="ULM64" s="6"/>
      <c r="ULN64" s="1"/>
      <c r="ULT64" s="2"/>
      <c r="ULU64" s="6"/>
      <c r="ULV64" s="1"/>
      <c r="UMB64" s="2"/>
      <c r="UMC64" s="6"/>
      <c r="UMD64" s="1"/>
      <c r="UMJ64" s="2"/>
      <c r="UMK64" s="6"/>
      <c r="UML64" s="1"/>
      <c r="UMR64" s="2"/>
      <c r="UMS64" s="6"/>
      <c r="UMT64" s="1"/>
      <c r="UMZ64" s="2"/>
      <c r="UNA64" s="6"/>
      <c r="UNB64" s="1"/>
      <c r="UNH64" s="2"/>
      <c r="UNI64" s="6"/>
      <c r="UNJ64" s="1"/>
      <c r="UNP64" s="2"/>
      <c r="UNQ64" s="6"/>
      <c r="UNR64" s="1"/>
      <c r="UNX64" s="2"/>
      <c r="UNY64" s="6"/>
      <c r="UNZ64" s="1"/>
      <c r="UOF64" s="2"/>
      <c r="UOG64" s="6"/>
      <c r="UOH64" s="1"/>
      <c r="UON64" s="2"/>
      <c r="UOO64" s="6"/>
      <c r="UOP64" s="1"/>
      <c r="UOV64" s="2"/>
      <c r="UOW64" s="6"/>
      <c r="UOX64" s="1"/>
      <c r="UPD64" s="2"/>
      <c r="UPE64" s="6"/>
      <c r="UPF64" s="1"/>
      <c r="UPL64" s="2"/>
      <c r="UPM64" s="6"/>
      <c r="UPN64" s="1"/>
      <c r="UPT64" s="2"/>
      <c r="UPU64" s="6"/>
      <c r="UPV64" s="1"/>
      <c r="UQB64" s="2"/>
      <c r="UQC64" s="6"/>
      <c r="UQD64" s="1"/>
      <c r="UQJ64" s="2"/>
      <c r="UQK64" s="6"/>
      <c r="UQL64" s="1"/>
      <c r="UQR64" s="2"/>
      <c r="UQS64" s="6"/>
      <c r="UQT64" s="1"/>
      <c r="UQZ64" s="2"/>
      <c r="URA64" s="6"/>
      <c r="URB64" s="1"/>
      <c r="URH64" s="2"/>
      <c r="URI64" s="6"/>
      <c r="URJ64" s="1"/>
      <c r="URP64" s="2"/>
      <c r="URQ64" s="6"/>
      <c r="URR64" s="1"/>
      <c r="URX64" s="2"/>
      <c r="URY64" s="6"/>
      <c r="URZ64" s="1"/>
      <c r="USF64" s="2"/>
      <c r="USG64" s="6"/>
      <c r="USH64" s="1"/>
      <c r="USN64" s="2"/>
      <c r="USO64" s="6"/>
      <c r="USP64" s="1"/>
      <c r="USV64" s="2"/>
      <c r="USW64" s="6"/>
      <c r="USX64" s="1"/>
      <c r="UTD64" s="2"/>
      <c r="UTE64" s="6"/>
      <c r="UTF64" s="1"/>
      <c r="UTL64" s="2"/>
      <c r="UTM64" s="6"/>
      <c r="UTN64" s="1"/>
      <c r="UTT64" s="2"/>
      <c r="UTU64" s="6"/>
      <c r="UTV64" s="1"/>
      <c r="UUB64" s="2"/>
      <c r="UUC64" s="6"/>
      <c r="UUD64" s="1"/>
      <c r="UUJ64" s="2"/>
      <c r="UUK64" s="6"/>
      <c r="UUL64" s="1"/>
      <c r="UUR64" s="2"/>
      <c r="UUS64" s="6"/>
      <c r="UUT64" s="1"/>
      <c r="UUZ64" s="2"/>
      <c r="UVA64" s="6"/>
      <c r="UVB64" s="1"/>
      <c r="UVH64" s="2"/>
      <c r="UVI64" s="6"/>
      <c r="UVJ64" s="1"/>
      <c r="UVP64" s="2"/>
      <c r="UVQ64" s="6"/>
      <c r="UVR64" s="1"/>
      <c r="UVX64" s="2"/>
      <c r="UVY64" s="6"/>
      <c r="UVZ64" s="1"/>
      <c r="UWF64" s="2"/>
      <c r="UWG64" s="6"/>
      <c r="UWH64" s="1"/>
      <c r="UWN64" s="2"/>
      <c r="UWO64" s="6"/>
      <c r="UWP64" s="1"/>
      <c r="UWV64" s="2"/>
      <c r="UWW64" s="6"/>
      <c r="UWX64" s="1"/>
      <c r="UXD64" s="2"/>
      <c r="UXE64" s="6"/>
      <c r="UXF64" s="1"/>
      <c r="UXL64" s="2"/>
      <c r="UXM64" s="6"/>
      <c r="UXN64" s="1"/>
      <c r="UXT64" s="2"/>
      <c r="UXU64" s="6"/>
      <c r="UXV64" s="1"/>
      <c r="UYB64" s="2"/>
      <c r="UYC64" s="6"/>
      <c r="UYD64" s="1"/>
      <c r="UYJ64" s="2"/>
      <c r="UYK64" s="6"/>
      <c r="UYL64" s="1"/>
      <c r="UYR64" s="2"/>
      <c r="UYS64" s="6"/>
      <c r="UYT64" s="1"/>
      <c r="UYZ64" s="2"/>
      <c r="UZA64" s="6"/>
      <c r="UZB64" s="1"/>
      <c r="UZH64" s="2"/>
      <c r="UZI64" s="6"/>
      <c r="UZJ64" s="1"/>
      <c r="UZP64" s="2"/>
      <c r="UZQ64" s="6"/>
      <c r="UZR64" s="1"/>
      <c r="UZX64" s="2"/>
      <c r="UZY64" s="6"/>
      <c r="UZZ64" s="1"/>
      <c r="VAF64" s="2"/>
      <c r="VAG64" s="6"/>
      <c r="VAH64" s="1"/>
      <c r="VAN64" s="2"/>
      <c r="VAO64" s="6"/>
      <c r="VAP64" s="1"/>
      <c r="VAV64" s="2"/>
      <c r="VAW64" s="6"/>
      <c r="VAX64" s="1"/>
      <c r="VBD64" s="2"/>
      <c r="VBE64" s="6"/>
      <c r="VBF64" s="1"/>
      <c r="VBL64" s="2"/>
      <c r="VBM64" s="6"/>
      <c r="VBN64" s="1"/>
      <c r="VBT64" s="2"/>
      <c r="VBU64" s="6"/>
      <c r="VBV64" s="1"/>
      <c r="VCB64" s="2"/>
      <c r="VCC64" s="6"/>
      <c r="VCD64" s="1"/>
      <c r="VCJ64" s="2"/>
      <c r="VCK64" s="6"/>
      <c r="VCL64" s="1"/>
      <c r="VCR64" s="2"/>
      <c r="VCS64" s="6"/>
      <c r="VCT64" s="1"/>
      <c r="VCZ64" s="2"/>
      <c r="VDA64" s="6"/>
      <c r="VDB64" s="1"/>
      <c r="VDH64" s="2"/>
      <c r="VDI64" s="6"/>
      <c r="VDJ64" s="1"/>
      <c r="VDP64" s="2"/>
      <c r="VDQ64" s="6"/>
      <c r="VDR64" s="1"/>
      <c r="VDX64" s="2"/>
      <c r="VDY64" s="6"/>
      <c r="VDZ64" s="1"/>
      <c r="VEF64" s="2"/>
      <c r="VEG64" s="6"/>
      <c r="VEH64" s="1"/>
      <c r="VEN64" s="2"/>
      <c r="VEO64" s="6"/>
      <c r="VEP64" s="1"/>
      <c r="VEV64" s="2"/>
      <c r="VEW64" s="6"/>
      <c r="VEX64" s="1"/>
      <c r="VFD64" s="2"/>
      <c r="VFE64" s="6"/>
      <c r="VFF64" s="1"/>
      <c r="VFL64" s="2"/>
      <c r="VFM64" s="6"/>
      <c r="VFN64" s="1"/>
      <c r="VFT64" s="2"/>
      <c r="VFU64" s="6"/>
      <c r="VFV64" s="1"/>
      <c r="VGB64" s="2"/>
      <c r="VGC64" s="6"/>
      <c r="VGD64" s="1"/>
      <c r="VGJ64" s="2"/>
      <c r="VGK64" s="6"/>
      <c r="VGL64" s="1"/>
      <c r="VGR64" s="2"/>
      <c r="VGS64" s="6"/>
      <c r="VGT64" s="1"/>
      <c r="VGZ64" s="2"/>
      <c r="VHA64" s="6"/>
      <c r="VHB64" s="1"/>
      <c r="VHH64" s="2"/>
      <c r="VHI64" s="6"/>
      <c r="VHJ64" s="1"/>
      <c r="VHP64" s="2"/>
      <c r="VHQ64" s="6"/>
      <c r="VHR64" s="1"/>
      <c r="VHX64" s="2"/>
      <c r="VHY64" s="6"/>
      <c r="VHZ64" s="1"/>
      <c r="VIF64" s="2"/>
      <c r="VIG64" s="6"/>
      <c r="VIH64" s="1"/>
      <c r="VIN64" s="2"/>
      <c r="VIO64" s="6"/>
      <c r="VIP64" s="1"/>
      <c r="VIV64" s="2"/>
      <c r="VIW64" s="6"/>
      <c r="VIX64" s="1"/>
      <c r="VJD64" s="2"/>
      <c r="VJE64" s="6"/>
      <c r="VJF64" s="1"/>
      <c r="VJL64" s="2"/>
      <c r="VJM64" s="6"/>
      <c r="VJN64" s="1"/>
      <c r="VJT64" s="2"/>
      <c r="VJU64" s="6"/>
      <c r="VJV64" s="1"/>
      <c r="VKB64" s="2"/>
      <c r="VKC64" s="6"/>
      <c r="VKD64" s="1"/>
      <c r="VKJ64" s="2"/>
      <c r="VKK64" s="6"/>
      <c r="VKL64" s="1"/>
      <c r="VKR64" s="2"/>
      <c r="VKS64" s="6"/>
      <c r="VKT64" s="1"/>
      <c r="VKZ64" s="2"/>
      <c r="VLA64" s="6"/>
      <c r="VLB64" s="1"/>
      <c r="VLH64" s="2"/>
      <c r="VLI64" s="6"/>
      <c r="VLJ64" s="1"/>
      <c r="VLP64" s="2"/>
      <c r="VLQ64" s="6"/>
      <c r="VLR64" s="1"/>
      <c r="VLX64" s="2"/>
      <c r="VLY64" s="6"/>
      <c r="VLZ64" s="1"/>
      <c r="VMF64" s="2"/>
      <c r="VMG64" s="6"/>
      <c r="VMH64" s="1"/>
      <c r="VMN64" s="2"/>
      <c r="VMO64" s="6"/>
      <c r="VMP64" s="1"/>
      <c r="VMV64" s="2"/>
      <c r="VMW64" s="6"/>
      <c r="VMX64" s="1"/>
      <c r="VND64" s="2"/>
      <c r="VNE64" s="6"/>
      <c r="VNF64" s="1"/>
      <c r="VNL64" s="2"/>
      <c r="VNM64" s="6"/>
      <c r="VNN64" s="1"/>
      <c r="VNT64" s="2"/>
      <c r="VNU64" s="6"/>
      <c r="VNV64" s="1"/>
      <c r="VOB64" s="2"/>
      <c r="VOC64" s="6"/>
      <c r="VOD64" s="1"/>
      <c r="VOJ64" s="2"/>
      <c r="VOK64" s="6"/>
      <c r="VOL64" s="1"/>
      <c r="VOR64" s="2"/>
      <c r="VOS64" s="6"/>
      <c r="VOT64" s="1"/>
      <c r="VOZ64" s="2"/>
      <c r="VPA64" s="6"/>
      <c r="VPB64" s="1"/>
      <c r="VPH64" s="2"/>
      <c r="VPI64" s="6"/>
      <c r="VPJ64" s="1"/>
      <c r="VPP64" s="2"/>
      <c r="VPQ64" s="6"/>
      <c r="VPR64" s="1"/>
      <c r="VPX64" s="2"/>
      <c r="VPY64" s="6"/>
      <c r="VPZ64" s="1"/>
      <c r="VQF64" s="2"/>
      <c r="VQG64" s="6"/>
      <c r="VQH64" s="1"/>
      <c r="VQN64" s="2"/>
      <c r="VQO64" s="6"/>
      <c r="VQP64" s="1"/>
      <c r="VQV64" s="2"/>
      <c r="VQW64" s="6"/>
      <c r="VQX64" s="1"/>
      <c r="VRD64" s="2"/>
      <c r="VRE64" s="6"/>
      <c r="VRF64" s="1"/>
      <c r="VRL64" s="2"/>
      <c r="VRM64" s="6"/>
      <c r="VRN64" s="1"/>
      <c r="VRT64" s="2"/>
      <c r="VRU64" s="6"/>
      <c r="VRV64" s="1"/>
      <c r="VSB64" s="2"/>
      <c r="VSC64" s="6"/>
      <c r="VSD64" s="1"/>
      <c r="VSJ64" s="2"/>
      <c r="VSK64" s="6"/>
      <c r="VSL64" s="1"/>
      <c r="VSR64" s="2"/>
      <c r="VSS64" s="6"/>
      <c r="VST64" s="1"/>
      <c r="VSZ64" s="2"/>
      <c r="VTA64" s="6"/>
      <c r="VTB64" s="1"/>
      <c r="VTH64" s="2"/>
      <c r="VTI64" s="6"/>
      <c r="VTJ64" s="1"/>
      <c r="VTP64" s="2"/>
      <c r="VTQ64" s="6"/>
      <c r="VTR64" s="1"/>
      <c r="VTX64" s="2"/>
      <c r="VTY64" s="6"/>
      <c r="VTZ64" s="1"/>
      <c r="VUF64" s="2"/>
      <c r="VUG64" s="6"/>
      <c r="VUH64" s="1"/>
      <c r="VUN64" s="2"/>
      <c r="VUO64" s="6"/>
      <c r="VUP64" s="1"/>
      <c r="VUV64" s="2"/>
      <c r="VUW64" s="6"/>
      <c r="VUX64" s="1"/>
      <c r="VVD64" s="2"/>
      <c r="VVE64" s="6"/>
      <c r="VVF64" s="1"/>
      <c r="VVL64" s="2"/>
      <c r="VVM64" s="6"/>
      <c r="VVN64" s="1"/>
      <c r="VVT64" s="2"/>
      <c r="VVU64" s="6"/>
      <c r="VVV64" s="1"/>
      <c r="VWB64" s="2"/>
      <c r="VWC64" s="6"/>
      <c r="VWD64" s="1"/>
      <c r="VWJ64" s="2"/>
      <c r="VWK64" s="6"/>
      <c r="VWL64" s="1"/>
      <c r="VWR64" s="2"/>
      <c r="VWS64" s="6"/>
      <c r="VWT64" s="1"/>
      <c r="VWZ64" s="2"/>
      <c r="VXA64" s="6"/>
      <c r="VXB64" s="1"/>
      <c r="VXH64" s="2"/>
      <c r="VXI64" s="6"/>
      <c r="VXJ64" s="1"/>
      <c r="VXP64" s="2"/>
      <c r="VXQ64" s="6"/>
      <c r="VXR64" s="1"/>
      <c r="VXX64" s="2"/>
      <c r="VXY64" s="6"/>
      <c r="VXZ64" s="1"/>
      <c r="VYF64" s="2"/>
      <c r="VYG64" s="6"/>
      <c r="VYH64" s="1"/>
      <c r="VYN64" s="2"/>
      <c r="VYO64" s="6"/>
      <c r="VYP64" s="1"/>
      <c r="VYV64" s="2"/>
      <c r="VYW64" s="6"/>
      <c r="VYX64" s="1"/>
      <c r="VZD64" s="2"/>
      <c r="VZE64" s="6"/>
      <c r="VZF64" s="1"/>
      <c r="VZL64" s="2"/>
      <c r="VZM64" s="6"/>
      <c r="VZN64" s="1"/>
      <c r="VZT64" s="2"/>
      <c r="VZU64" s="6"/>
      <c r="VZV64" s="1"/>
      <c r="WAB64" s="2"/>
      <c r="WAC64" s="6"/>
      <c r="WAD64" s="1"/>
      <c r="WAJ64" s="2"/>
      <c r="WAK64" s="6"/>
      <c r="WAL64" s="1"/>
      <c r="WAR64" s="2"/>
      <c r="WAS64" s="6"/>
      <c r="WAT64" s="1"/>
      <c r="WAZ64" s="2"/>
      <c r="WBA64" s="6"/>
      <c r="WBB64" s="1"/>
      <c r="WBH64" s="2"/>
      <c r="WBI64" s="6"/>
      <c r="WBJ64" s="1"/>
      <c r="WBP64" s="2"/>
      <c r="WBQ64" s="6"/>
      <c r="WBR64" s="1"/>
      <c r="WBX64" s="2"/>
      <c r="WBY64" s="6"/>
      <c r="WBZ64" s="1"/>
      <c r="WCF64" s="2"/>
      <c r="WCG64" s="6"/>
      <c r="WCH64" s="1"/>
      <c r="WCN64" s="2"/>
      <c r="WCO64" s="6"/>
      <c r="WCP64" s="1"/>
      <c r="WCV64" s="2"/>
      <c r="WCW64" s="6"/>
      <c r="WCX64" s="1"/>
      <c r="WDD64" s="2"/>
      <c r="WDE64" s="6"/>
      <c r="WDF64" s="1"/>
      <c r="WDL64" s="2"/>
      <c r="WDM64" s="6"/>
      <c r="WDN64" s="1"/>
      <c r="WDT64" s="2"/>
      <c r="WDU64" s="6"/>
      <c r="WDV64" s="1"/>
      <c r="WEB64" s="2"/>
      <c r="WEC64" s="6"/>
      <c r="WED64" s="1"/>
      <c r="WEJ64" s="2"/>
      <c r="WEK64" s="6"/>
      <c r="WEL64" s="1"/>
      <c r="WER64" s="2"/>
      <c r="WES64" s="6"/>
      <c r="WET64" s="1"/>
      <c r="WEZ64" s="2"/>
      <c r="WFA64" s="6"/>
      <c r="WFB64" s="1"/>
      <c r="WFH64" s="2"/>
      <c r="WFI64" s="6"/>
      <c r="WFJ64" s="1"/>
      <c r="WFP64" s="2"/>
      <c r="WFQ64" s="6"/>
      <c r="WFR64" s="1"/>
      <c r="WFX64" s="2"/>
      <c r="WFY64" s="6"/>
      <c r="WFZ64" s="1"/>
      <c r="WGF64" s="2"/>
      <c r="WGG64" s="6"/>
      <c r="WGH64" s="1"/>
      <c r="WGN64" s="2"/>
      <c r="WGO64" s="6"/>
      <c r="WGP64" s="1"/>
      <c r="WGV64" s="2"/>
      <c r="WGW64" s="6"/>
      <c r="WGX64" s="1"/>
      <c r="WHD64" s="2"/>
      <c r="WHE64" s="6"/>
      <c r="WHF64" s="1"/>
      <c r="WHL64" s="2"/>
      <c r="WHM64" s="6"/>
      <c r="WHN64" s="1"/>
      <c r="WHT64" s="2"/>
      <c r="WHU64" s="6"/>
      <c r="WHV64" s="1"/>
      <c r="WIB64" s="2"/>
      <c r="WIC64" s="6"/>
      <c r="WID64" s="1"/>
      <c r="WIJ64" s="2"/>
      <c r="WIK64" s="6"/>
      <c r="WIL64" s="1"/>
      <c r="WIR64" s="2"/>
      <c r="WIS64" s="6"/>
      <c r="WIT64" s="1"/>
      <c r="WIZ64" s="2"/>
      <c r="WJA64" s="6"/>
      <c r="WJB64" s="1"/>
      <c r="WJH64" s="2"/>
      <c r="WJI64" s="6"/>
      <c r="WJJ64" s="1"/>
      <c r="WJP64" s="2"/>
      <c r="WJQ64" s="6"/>
      <c r="WJR64" s="1"/>
      <c r="WJX64" s="2"/>
      <c r="WJY64" s="6"/>
      <c r="WJZ64" s="1"/>
      <c r="WKF64" s="2"/>
      <c r="WKG64" s="6"/>
      <c r="WKH64" s="1"/>
      <c r="WKN64" s="2"/>
      <c r="WKO64" s="6"/>
      <c r="WKP64" s="1"/>
      <c r="WKV64" s="2"/>
      <c r="WKW64" s="6"/>
      <c r="WKX64" s="1"/>
      <c r="WLD64" s="2"/>
      <c r="WLE64" s="6"/>
      <c r="WLF64" s="1"/>
      <c r="WLL64" s="2"/>
      <c r="WLM64" s="6"/>
      <c r="WLN64" s="1"/>
      <c r="WLT64" s="2"/>
      <c r="WLU64" s="6"/>
      <c r="WLV64" s="1"/>
      <c r="WMB64" s="2"/>
      <c r="WMC64" s="6"/>
      <c r="WMD64" s="1"/>
      <c r="WMJ64" s="2"/>
      <c r="WMK64" s="6"/>
      <c r="WML64" s="1"/>
      <c r="WMR64" s="2"/>
      <c r="WMS64" s="6"/>
      <c r="WMT64" s="1"/>
      <c r="WMZ64" s="2"/>
      <c r="WNA64" s="6"/>
      <c r="WNB64" s="1"/>
      <c r="WNH64" s="2"/>
      <c r="WNI64" s="6"/>
      <c r="WNJ64" s="1"/>
      <c r="WNP64" s="2"/>
      <c r="WNQ64" s="6"/>
      <c r="WNR64" s="1"/>
      <c r="WNX64" s="2"/>
      <c r="WNY64" s="6"/>
      <c r="WNZ64" s="1"/>
      <c r="WOF64" s="2"/>
      <c r="WOG64" s="6"/>
      <c r="WOH64" s="1"/>
      <c r="WON64" s="2"/>
      <c r="WOO64" s="6"/>
      <c r="WOP64" s="1"/>
      <c r="WOV64" s="2"/>
      <c r="WOW64" s="6"/>
      <c r="WOX64" s="1"/>
      <c r="WPD64" s="2"/>
      <c r="WPE64" s="6"/>
      <c r="WPF64" s="1"/>
      <c r="WPL64" s="2"/>
      <c r="WPM64" s="6"/>
      <c r="WPN64" s="1"/>
      <c r="WPT64" s="2"/>
      <c r="WPU64" s="6"/>
      <c r="WPV64" s="1"/>
      <c r="WQB64" s="2"/>
      <c r="WQC64" s="6"/>
      <c r="WQD64" s="1"/>
      <c r="WQJ64" s="2"/>
      <c r="WQK64" s="6"/>
      <c r="WQL64" s="1"/>
      <c r="WQR64" s="2"/>
      <c r="WQS64" s="6"/>
      <c r="WQT64" s="1"/>
      <c r="WQZ64" s="2"/>
      <c r="WRA64" s="6"/>
      <c r="WRB64" s="1"/>
      <c r="WRH64" s="2"/>
      <c r="WRI64" s="6"/>
      <c r="WRJ64" s="1"/>
      <c r="WRP64" s="2"/>
      <c r="WRQ64" s="6"/>
      <c r="WRR64" s="1"/>
      <c r="WRX64" s="2"/>
      <c r="WRY64" s="6"/>
      <c r="WRZ64" s="1"/>
      <c r="WSF64" s="2"/>
      <c r="WSG64" s="6"/>
      <c r="WSH64" s="1"/>
      <c r="WSN64" s="2"/>
      <c r="WSO64" s="6"/>
      <c r="WSP64" s="1"/>
      <c r="WSV64" s="2"/>
      <c r="WSW64" s="6"/>
      <c r="WSX64" s="1"/>
      <c r="WTD64" s="2"/>
      <c r="WTE64" s="6"/>
      <c r="WTF64" s="1"/>
      <c r="WTL64" s="2"/>
      <c r="WTM64" s="6"/>
      <c r="WTN64" s="1"/>
      <c r="WTT64" s="2"/>
      <c r="WTU64" s="6"/>
      <c r="WTV64" s="1"/>
      <c r="WUB64" s="2"/>
      <c r="WUC64" s="6"/>
      <c r="WUD64" s="1"/>
      <c r="WUJ64" s="2"/>
      <c r="WUK64" s="6"/>
      <c r="WUL64" s="1"/>
      <c r="WUR64" s="2"/>
      <c r="WUS64" s="6"/>
      <c r="WUT64" s="1"/>
      <c r="WUZ64" s="2"/>
      <c r="WVA64" s="6"/>
      <c r="WVB64" s="1"/>
      <c r="WVH64" s="2"/>
      <c r="WVI64" s="6"/>
      <c r="WVJ64" s="1"/>
      <c r="WVP64" s="2"/>
      <c r="WVQ64" s="6"/>
      <c r="WVR64" s="1"/>
      <c r="WVX64" s="2"/>
      <c r="WVY64" s="6"/>
      <c r="WVZ64" s="1"/>
      <c r="WWF64" s="2"/>
      <c r="WWG64" s="6"/>
      <c r="WWH64" s="1"/>
      <c r="WWN64" s="2"/>
      <c r="WWO64" s="6"/>
      <c r="WWP64" s="1"/>
      <c r="WWV64" s="2"/>
      <c r="WWW64" s="6"/>
      <c r="WWX64" s="1"/>
      <c r="WXD64" s="2"/>
      <c r="WXE64" s="6"/>
      <c r="WXF64" s="1"/>
      <c r="WXL64" s="2"/>
      <c r="WXM64" s="6"/>
      <c r="WXN64" s="1"/>
      <c r="WXT64" s="2"/>
      <c r="WXU64" s="6"/>
      <c r="WXV64" s="1"/>
      <c r="WYB64" s="2"/>
      <c r="WYC64" s="6"/>
      <c r="WYD64" s="1"/>
      <c r="WYJ64" s="2"/>
      <c r="WYK64" s="6"/>
      <c r="WYL64" s="1"/>
      <c r="WYR64" s="2"/>
      <c r="WYS64" s="6"/>
      <c r="WYT64" s="1"/>
      <c r="WYZ64" s="2"/>
      <c r="WZA64" s="6"/>
      <c r="WZB64" s="1"/>
      <c r="WZH64" s="2"/>
      <c r="WZI64" s="6"/>
      <c r="WZJ64" s="1"/>
      <c r="WZP64" s="2"/>
      <c r="WZQ64" s="6"/>
      <c r="WZR64" s="1"/>
      <c r="WZX64" s="2"/>
      <c r="WZY64" s="6"/>
      <c r="WZZ64" s="1"/>
      <c r="XAF64" s="2"/>
      <c r="XAG64" s="6"/>
      <c r="XAH64" s="1"/>
      <c r="XAN64" s="2"/>
      <c r="XAO64" s="6"/>
      <c r="XAP64" s="1"/>
      <c r="XAV64" s="2"/>
      <c r="XAW64" s="6"/>
      <c r="XAX64" s="1"/>
      <c r="XBD64" s="2"/>
      <c r="XBE64" s="6"/>
      <c r="XBF64" s="1"/>
      <c r="XBL64" s="2"/>
      <c r="XBM64" s="6"/>
      <c r="XBN64" s="1"/>
      <c r="XBT64" s="2"/>
      <c r="XBU64" s="6"/>
      <c r="XBV64" s="1"/>
      <c r="XCB64" s="2"/>
      <c r="XCC64" s="6"/>
      <c r="XCD64" s="1"/>
      <c r="XCJ64" s="2"/>
      <c r="XCK64" s="6"/>
      <c r="XCL64" s="1"/>
      <c r="XCR64" s="2"/>
      <c r="XCS64" s="6"/>
      <c r="XCT64" s="1"/>
      <c r="XCZ64" s="2"/>
      <c r="XDA64" s="6"/>
      <c r="XDB64" s="1"/>
      <c r="XDH64" s="2"/>
      <c r="XDI64" s="6"/>
      <c r="XDJ64" s="1"/>
      <c r="XDP64" s="2"/>
      <c r="XDQ64" s="6"/>
      <c r="XDR64" s="1"/>
      <c r="XDX64" s="2"/>
      <c r="XDY64" s="6"/>
      <c r="XDZ64" s="1"/>
      <c r="XEF64" s="2"/>
      <c r="XEG64" s="6"/>
      <c r="XEH64" s="1"/>
      <c r="XEN64" s="2"/>
      <c r="XEO64" s="6"/>
      <c r="XEP64" s="1"/>
      <c r="XEV64" s="2"/>
      <c r="XEW64" s="6"/>
      <c r="XEX64" s="1"/>
      <c r="XFD64" s="2"/>
    </row>
    <row r="65" spans="1:10" customFormat="1" x14ac:dyDescent="0.25">
      <c r="A65" s="12"/>
    </row>
    <row r="66" spans="1:10" customFormat="1" x14ac:dyDescent="0.25">
      <c r="A66" s="10" t="s">
        <v>111</v>
      </c>
    </row>
    <row r="67" spans="1:10" customFormat="1" x14ac:dyDescent="0.25">
      <c r="A67" s="11" t="s">
        <v>186</v>
      </c>
      <c r="B67" s="1" t="s">
        <v>0</v>
      </c>
      <c r="C67" s="1" t="s">
        <v>7</v>
      </c>
      <c r="D67" s="1" t="s">
        <v>1</v>
      </c>
      <c r="E67" s="1" t="s">
        <v>2</v>
      </c>
      <c r="F67" s="1" t="s">
        <v>14</v>
      </c>
      <c r="G67" s="1" t="s">
        <v>4</v>
      </c>
      <c r="H67" s="1" t="s">
        <v>3</v>
      </c>
      <c r="I67" s="1" t="s">
        <v>38</v>
      </c>
      <c r="J67" s="1" t="s">
        <v>9</v>
      </c>
    </row>
    <row r="68" spans="1:10" customFormat="1" x14ac:dyDescent="0.25">
      <c r="A68" s="11">
        <v>54</v>
      </c>
      <c r="B68" t="s">
        <v>120</v>
      </c>
      <c r="D68" t="s">
        <v>123</v>
      </c>
      <c r="E68" t="s">
        <v>122</v>
      </c>
      <c r="F68" t="s">
        <v>65</v>
      </c>
      <c r="G68">
        <v>1</v>
      </c>
      <c r="H68" s="2">
        <v>27.6</v>
      </c>
      <c r="I68" s="17">
        <f>G68*H68</f>
        <v>27.6</v>
      </c>
      <c r="J68" t="s">
        <v>121</v>
      </c>
    </row>
    <row r="69" spans="1:10" customFormat="1" x14ac:dyDescent="0.25">
      <c r="A69" s="11">
        <v>55</v>
      </c>
      <c r="B69" t="s">
        <v>161</v>
      </c>
      <c r="C69" t="s">
        <v>159</v>
      </c>
      <c r="D69" t="s">
        <v>124</v>
      </c>
      <c r="E69" t="s">
        <v>160</v>
      </c>
      <c r="F69" t="s">
        <v>125</v>
      </c>
      <c r="G69">
        <f>1/20</f>
        <v>0.05</v>
      </c>
      <c r="H69" s="2">
        <v>191.3</v>
      </c>
      <c r="I69" s="17">
        <f>G69*H69</f>
        <v>9.5650000000000013</v>
      </c>
      <c r="J69" t="s">
        <v>178</v>
      </c>
    </row>
    <row r="70" spans="1:10" customFormat="1" x14ac:dyDescent="0.25">
      <c r="A70" s="11">
        <v>56</v>
      </c>
      <c r="B70" t="s">
        <v>182</v>
      </c>
      <c r="D70" t="s">
        <v>70</v>
      </c>
      <c r="E70" t="s">
        <v>183</v>
      </c>
      <c r="F70" t="s">
        <v>65</v>
      </c>
      <c r="G70">
        <v>4</v>
      </c>
      <c r="H70" s="2">
        <v>5.48</v>
      </c>
      <c r="I70" s="17">
        <f>G70*H70</f>
        <v>21.92</v>
      </c>
    </row>
    <row r="71" spans="1:10" customFormat="1" x14ac:dyDescent="0.25">
      <c r="A71" s="11">
        <v>57</v>
      </c>
      <c r="B71" t="s">
        <v>179</v>
      </c>
      <c r="D71" t="s">
        <v>180</v>
      </c>
      <c r="E71" t="s">
        <v>181</v>
      </c>
      <c r="F71" t="s">
        <v>65</v>
      </c>
      <c r="G71">
        <v>1</v>
      </c>
      <c r="H71" s="2">
        <v>2.4900000000000002</v>
      </c>
      <c r="I71" s="17">
        <f>G71*H71</f>
        <v>2.4900000000000002</v>
      </c>
    </row>
    <row r="72" spans="1:10" customFormat="1" x14ac:dyDescent="0.25">
      <c r="A72" s="11">
        <v>58</v>
      </c>
      <c r="B72" t="s">
        <v>114</v>
      </c>
      <c r="D72" t="s">
        <v>112</v>
      </c>
      <c r="E72" t="s">
        <v>113</v>
      </c>
      <c r="F72" t="s">
        <v>65</v>
      </c>
      <c r="G72">
        <v>1</v>
      </c>
      <c r="H72" s="3">
        <v>640</v>
      </c>
      <c r="I72" s="17">
        <f>G72*H72</f>
        <v>640</v>
      </c>
      <c r="J72" t="s">
        <v>119</v>
      </c>
    </row>
    <row r="73" spans="1:10" customFormat="1" x14ac:dyDescent="0.25">
      <c r="A73" s="11">
        <v>59</v>
      </c>
      <c r="B73" t="s">
        <v>184</v>
      </c>
      <c r="D73" t="s">
        <v>70</v>
      </c>
      <c r="E73" t="s">
        <v>185</v>
      </c>
      <c r="F73" t="s">
        <v>65</v>
      </c>
      <c r="G73">
        <v>1</v>
      </c>
      <c r="H73" s="2">
        <v>39.99</v>
      </c>
      <c r="I73" s="17">
        <f>G73*H73</f>
        <v>39.99</v>
      </c>
    </row>
    <row r="74" spans="1:10" customFormat="1" x14ac:dyDescent="0.25">
      <c r="A74" s="11">
        <v>60</v>
      </c>
      <c r="B74" t="s">
        <v>116</v>
      </c>
      <c r="C74" t="s">
        <v>115</v>
      </c>
      <c r="D74" t="s">
        <v>83</v>
      </c>
      <c r="E74" t="s">
        <v>117</v>
      </c>
      <c r="F74" t="s">
        <v>65</v>
      </c>
      <c r="G74">
        <v>1</v>
      </c>
      <c r="H74" s="2">
        <v>180</v>
      </c>
      <c r="I74" s="17">
        <f>G74*H74</f>
        <v>180</v>
      </c>
      <c r="J74" t="s">
        <v>118</v>
      </c>
    </row>
    <row r="75" spans="1:10" customFormat="1" x14ac:dyDescent="0.25">
      <c r="A75" s="12"/>
      <c r="B75" s="1" t="s">
        <v>96</v>
      </c>
      <c r="H75" s="2"/>
      <c r="I75" s="7">
        <f>SUM(I68:I74)-I72</f>
        <v>281.56500000000005</v>
      </c>
    </row>
    <row r="76" spans="1:10" customFormat="1" x14ac:dyDescent="0.25">
      <c r="A76" s="12"/>
      <c r="H76" s="2"/>
      <c r="I76" s="3"/>
    </row>
    <row r="77" spans="1:10" customFormat="1" x14ac:dyDescent="0.25">
      <c r="A77" s="10" t="s">
        <v>126</v>
      </c>
    </row>
    <row r="78" spans="1:10" customFormat="1" x14ac:dyDescent="0.25">
      <c r="A78" s="11" t="s">
        <v>186</v>
      </c>
      <c r="B78" s="1" t="s">
        <v>0</v>
      </c>
      <c r="C78" s="1" t="s">
        <v>7</v>
      </c>
      <c r="D78" s="1" t="s">
        <v>1</v>
      </c>
      <c r="E78" s="1"/>
      <c r="F78" s="1" t="s">
        <v>14</v>
      </c>
      <c r="G78" s="1"/>
      <c r="H78" s="1" t="s">
        <v>3</v>
      </c>
      <c r="I78" s="1" t="s">
        <v>38</v>
      </c>
      <c r="J78" s="1" t="s">
        <v>99</v>
      </c>
    </row>
    <row r="79" spans="1:10" customFormat="1" x14ac:dyDescent="0.25">
      <c r="A79" s="11">
        <v>61</v>
      </c>
      <c r="B79" t="s">
        <v>97</v>
      </c>
      <c r="D79" t="s">
        <v>98</v>
      </c>
      <c r="F79" t="s">
        <v>128</v>
      </c>
      <c r="H79">
        <v>371.41</v>
      </c>
      <c r="I79" s="3">
        <f>G79*H79</f>
        <v>0</v>
      </c>
      <c r="J79" t="s">
        <v>100</v>
      </c>
    </row>
    <row r="81" spans="1:9" customFormat="1" x14ac:dyDescent="0.25">
      <c r="A81" s="12"/>
      <c r="B81" s="9" t="s">
        <v>127</v>
      </c>
      <c r="C81" s="1"/>
      <c r="D81" s="1"/>
      <c r="E81" s="1"/>
      <c r="F81" s="1"/>
      <c r="G81" s="1"/>
      <c r="H81" s="1"/>
      <c r="I81" s="7">
        <f>SUM(I75,I64,I52,I15)</f>
        <v>968.46355000000028</v>
      </c>
    </row>
    <row r="82" spans="1:9" customFormat="1" x14ac:dyDescent="0.25">
      <c r="A82" s="12"/>
      <c r="I82" s="4">
        <f>I81-I73+I72</f>
        <v>1568.4735500000002</v>
      </c>
    </row>
    <row r="83" spans="1:9" customFormat="1" x14ac:dyDescent="0.25">
      <c r="A83" s="12"/>
    </row>
    <row r="84" spans="1:9" customFormat="1" x14ac:dyDescent="0.25">
      <c r="A84" s="12"/>
    </row>
  </sheetData>
  <sortState xmlns:xlrd2="http://schemas.microsoft.com/office/spreadsheetml/2017/richdata2" ref="A68:J74">
    <sortCondition ref="A74"/>
  </sortState>
  <phoneticPr fontId="5" type="noConversion"/>
  <hyperlinks>
    <hyperlink ref="J27" r:id="rId1" xr:uid="{E2FE1006-F729-426C-993F-69F4EC52B4F9}"/>
    <hyperlink ref="J19" r:id="rId2" xr:uid="{B47B674D-41FA-4361-9487-6AE17B1FFBB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Madden</dc:creator>
  <cp:lastModifiedBy>Maxwell Madden</cp:lastModifiedBy>
  <dcterms:created xsi:type="dcterms:W3CDTF">2015-06-05T18:17:20Z</dcterms:created>
  <dcterms:modified xsi:type="dcterms:W3CDTF">2026-08-03T20:37:50Z</dcterms:modified>
</cp:coreProperties>
</file>