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Maxwell\HudaNASMaxwell\Writing\2026_LampyrMethodsPaper\Figures\"/>
    </mc:Choice>
  </mc:AlternateContent>
  <xr:revisionPtr revIDLastSave="0" documentId="13_ncr:1_{5D8A749F-906B-4B3E-8C30-83EABF15D140}" xr6:coauthVersionLast="47" xr6:coauthVersionMax="47" xr10:uidLastSave="{00000000-0000-0000-0000-000000000000}"/>
  <bookViews>
    <workbookView xWindow="38280" yWindow="-120" windowWidth="24240" windowHeight="13020" xr2:uid="{00000000-000D-0000-FFFF-FFFF00000000}"/>
  </bookViews>
  <sheets>
    <sheet name="Bill of 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1" i="1" l="1"/>
  <c r="I74" i="1"/>
  <c r="I80" i="1"/>
  <c r="G36" i="1"/>
  <c r="I36" i="1"/>
  <c r="G32" i="1"/>
  <c r="I32" i="1" s="1"/>
  <c r="G31" i="1"/>
  <c r="I31" i="1" s="1"/>
  <c r="I37" i="1"/>
  <c r="I19" i="1"/>
  <c r="I22" i="1"/>
  <c r="I23" i="1"/>
  <c r="I24" i="1"/>
  <c r="I25" i="1"/>
  <c r="I43" i="1"/>
  <c r="I49" i="1"/>
  <c r="I46" i="1"/>
  <c r="I28" i="1"/>
  <c r="I48" i="1"/>
  <c r="G21" i="1"/>
  <c r="I21" i="1" s="1"/>
  <c r="G20" i="1"/>
  <c r="I20" i="1" s="1"/>
  <c r="G4" i="1"/>
  <c r="I4" i="1" s="1"/>
  <c r="I73" i="1"/>
  <c r="I69" i="1"/>
  <c r="I70" i="1"/>
  <c r="G14" i="1"/>
  <c r="I14" i="1" s="1"/>
  <c r="I13" i="1"/>
  <c r="G11" i="1"/>
  <c r="I11" i="1" s="1"/>
  <c r="G12" i="1"/>
  <c r="I12" i="1" s="1"/>
  <c r="I39" i="1"/>
  <c r="G34" i="1"/>
  <c r="I34" i="1" s="1"/>
  <c r="G38" i="1"/>
  <c r="I38" i="1" s="1"/>
  <c r="G33" i="1"/>
  <c r="I33" i="1" s="1"/>
  <c r="G30" i="1"/>
  <c r="I30" i="1" s="1"/>
  <c r="G35" i="1"/>
  <c r="I35" i="1" s="1"/>
  <c r="G40" i="1"/>
  <c r="I40" i="1" s="1"/>
  <c r="I41" i="1"/>
  <c r="I42" i="1"/>
  <c r="I78" i="1"/>
  <c r="G68" i="1"/>
  <c r="I68" i="1" s="1"/>
  <c r="I67" i="1"/>
  <c r="I72" i="1"/>
  <c r="I71" i="1"/>
  <c r="G56" i="1"/>
  <c r="I56" i="1" s="1"/>
  <c r="I63" i="1" s="1"/>
  <c r="I10" i="1"/>
  <c r="G29" i="1"/>
  <c r="I29" i="1" s="1"/>
  <c r="G45" i="1"/>
  <c r="I45" i="1" s="1"/>
  <c r="G50" i="1"/>
  <c r="I50" i="1" s="1"/>
  <c r="G47" i="1"/>
  <c r="I47" i="1" s="1"/>
  <c r="G44" i="1"/>
  <c r="I44" i="1" s="1"/>
  <c r="G26" i="1"/>
  <c r="I26" i="1" s="1"/>
  <c r="G27" i="1"/>
  <c r="I27" i="1" s="1"/>
  <c r="I8" i="1"/>
  <c r="I9" i="1"/>
  <c r="I5" i="1"/>
  <c r="I7" i="1"/>
  <c r="I6" i="1"/>
  <c r="I3" i="1"/>
  <c r="I52" i="1" l="1"/>
  <c r="I15" i="1"/>
</calcChain>
</file>

<file path=xl/sharedStrings.xml><?xml version="1.0" encoding="utf-8"?>
<sst xmlns="http://schemas.openxmlformats.org/spreadsheetml/2006/main" count="341" uniqueCount="215">
  <si>
    <t>Item</t>
  </si>
  <si>
    <t>Vendor</t>
  </si>
  <si>
    <t>Catalog #</t>
  </si>
  <si>
    <t>Price</t>
  </si>
  <si>
    <t>Number</t>
  </si>
  <si>
    <t>Sound Attenuation Box</t>
  </si>
  <si>
    <t>3/4 in. x 4 ft. x 8 ft. MDF Panel</t>
  </si>
  <si>
    <t>Notes</t>
  </si>
  <si>
    <t>Home Depot</t>
  </si>
  <si>
    <t>Link</t>
  </si>
  <si>
    <t>https://www.homedepot.com/p/ULTRASTOCK-3-4-in-x-4-ft-x-8-ft-MDF-Panel-D11612490970000/304325742</t>
  </si>
  <si>
    <t>Each panel makes 2 boxes</t>
  </si>
  <si>
    <t>2-Pack Nickel 1 1/4 inch 32mm Overlay Face Frame Self Close Concealed Cabinet Hinges</t>
  </si>
  <si>
    <t>Cabinet hinges</t>
  </si>
  <si>
    <t>Unit</t>
  </si>
  <si>
    <t>Panel</t>
  </si>
  <si>
    <t>Pack (4)</t>
  </si>
  <si>
    <t>Pack (2)</t>
  </si>
  <si>
    <t>https://www.homedepot.com/p/Amerock-2-Pack-Nickel-1-1-4-inch-32mm-Overlay-Face-Frame-Self-Close-Concealed-Cabinet-Hinges-BP9236SLFF/332609806</t>
  </si>
  <si>
    <t>BP9236SLFF</t>
  </si>
  <si>
    <t>(4-Pack) Solid Bar 3 in. (76 mm) Brushed Stainless Steel Modern Cabinet Handle Drawer Pulls</t>
  </si>
  <si>
    <t>Cabinet Handles</t>
  </si>
  <si>
    <t>https://www.homedepot.com/p/Liberty-4-Pack-Solid-Bar-3-in-76-mm-Brushed-Stainless-Steel-Modern-Cabinet-Handle-Drawer-Pulls-P13456L-SS-U1/202824457?MERCH=REC-_-reorder_typeahead_post-_-n/a-_-0-_-n/a-_-n/a-_-n/a-_-n/a-_-n/a</t>
  </si>
  <si>
    <t>#8 x 2 in. Coarse Zinc-Plated Phillips Bugle Head Wood Screws (50 per Pack)</t>
  </si>
  <si>
    <t>Pack (50)</t>
  </si>
  <si>
    <t>Screws</t>
  </si>
  <si>
    <t>https://www.homedepot.com/p/Everbilt-8-x-2-in-Coarse-Zinc-Plated-Phillips-Bugle-Head-Wood-Screws-50-per-Pack-802692/204283333?MERCH=REC-_-reorder_typeahead_pre-_-n/a-_-2-_-n/a-_-n/a-_-n/a-_-n/a-_-n/a</t>
  </si>
  <si>
    <t>18 fl. oz. Wood Glue</t>
  </si>
  <si>
    <t>Wood Glue, sufficient for several boxes</t>
  </si>
  <si>
    <t>18 oz</t>
  </si>
  <si>
    <t>1 Gal. WaterTite LX Low VOC Mold and Mildew-Proof White Water Based Waterproofing Paint</t>
  </si>
  <si>
    <t>Water resistant paint</t>
  </si>
  <si>
    <t>1 Gal</t>
  </si>
  <si>
    <t>https://www.homedepot.com/p/Gorilla-18-fl-oz-Wood-Glue-62050/100662003</t>
  </si>
  <si>
    <t>https://www.homedepot.com/p/Zinsser-1-Gal-WaterTite-LX-Low-VOC-Mold-and-Mildew-Proof-White-Water-Based-Waterproofing-Paint-270267/206596437?MERCH=REC-_-reorder_typeahead_pre-_-n/a-_-5-_-n/a-_-n/a-_-n/a-_-n/a-_-n/a</t>
  </si>
  <si>
    <t>Mold and Mildew 1 Gal. White Water Based Interior and Exterior Primer, Sealer and Stain-Blocker</t>
  </si>
  <si>
    <t>Water resistant primer (2 coats)</t>
  </si>
  <si>
    <t>L204601</t>
  </si>
  <si>
    <t>Price per Rig</t>
  </si>
  <si>
    <t>Aluminum Breadboard 8" x 10" x 1/2", 1/4"-20 Taps</t>
  </si>
  <si>
    <t>Thorlabs</t>
  </si>
  <si>
    <t>https://www.thorlabs.com/item/MB810</t>
  </si>
  <si>
    <t>Right-Angle Clamp for Ø1/2" Posts, 3/16" Hex, 5 Pack</t>
  </si>
  <si>
    <t>RA90-P5</t>
  </si>
  <si>
    <t>pack (5)</t>
  </si>
  <si>
    <t>https://www.thorlabs.com/item/RA90-P5</t>
  </si>
  <si>
    <t>https://www.thorlabs.com/item/PH2-P5</t>
  </si>
  <si>
    <t>PH2-P5</t>
  </si>
  <si>
    <t>https://www.thorlabs.com/item/TR4-P5</t>
  </si>
  <si>
    <t>TR4-P5</t>
  </si>
  <si>
    <t>Ø1/2" Optical Post, SS, 8-32 Setscrew, 1/4"-20 Tap, L = 4", 5 Pack</t>
  </si>
  <si>
    <t>Ø1/2" Post Holder, Spring-Loaded Hex-Locking Thumbscrew, L = 2", 5 Pack</t>
  </si>
  <si>
    <t>PH1-P5</t>
  </si>
  <si>
    <t>https://www.thorlabs.com/item/PH1-P5</t>
  </si>
  <si>
    <t>Ø1/2" Optical Post, SS, 8-32 Setscrew, 1/4"-20 Tap, L = 0.75", 5 Pack</t>
  </si>
  <si>
    <t>TR075-P5</t>
  </si>
  <si>
    <t>https://www.thorlabs.com/item/TR075-P5</t>
  </si>
  <si>
    <t>https://www.thorlabs.com/item/TR2-P5</t>
  </si>
  <si>
    <t>TR2-P5</t>
  </si>
  <si>
    <t>BA1S-P5</t>
  </si>
  <si>
    <t>MB810</t>
  </si>
  <si>
    <t>https://www.thorlabs.com/item/BA1S-P5</t>
  </si>
  <si>
    <t>Mounting Base, 1" x 2.3" x 3/8", 5 Pack</t>
  </si>
  <si>
    <t>Ø1/2" Optical Post, SS, 8-32 Setscrew, 1/4"-20 Tap, L = 2", 5 Pack</t>
  </si>
  <si>
    <t xml:space="preserve">Ordro LN-3 IR Night Vision Light for Enhancing Camera Night Shooting Visibility, 1/4 Hot Shoe Compatible DSLR/Ordro Camera, 850nm IR Light USB Rechargeable IR Photography Light (Ghost Hunting Device) </t>
  </si>
  <si>
    <t>each</t>
  </si>
  <si>
    <t>B09KGS84QN</t>
  </si>
  <si>
    <t>https://www.amazon.com/ORDRO-Camcorder-Compatible-Rechargeable-Photography/dp/B09KGS84QN</t>
  </si>
  <si>
    <t>Rotary Encoder - 1024 P/R (Quadrature)</t>
  </si>
  <si>
    <t>Sparkfun</t>
  </si>
  <si>
    <t>Amazon</t>
  </si>
  <si>
    <t>https://www.sparkfun.com/rotary-encoder-1024-p-r-quadrature.html</t>
  </si>
  <si>
    <t>COM-11102</t>
  </si>
  <si>
    <t>B0CLYB3QLV</t>
  </si>
  <si>
    <t xml:space="preserve">Technic Parts 4 pcs TYRE Dia. 62X20 &amp; Rim Dia. 43.2 X 18 | Building Blocks Tyres Compatible with Lego for Kids Boys Toy </t>
  </si>
  <si>
    <t>Clone of Lego Wheel</t>
  </si>
  <si>
    <t>pack (4)</t>
  </si>
  <si>
    <t>Behavior Rig (Off-Shelf Components)</t>
  </si>
  <si>
    <t>https://www.amazon.com/Building-Blocks-Technic-Parts-Compatible/dp/B0CLYB3QLV?crid=JI2ZEKZGA3VU&amp;dib=eyJ2IjoiMSJ9.zksr0O86K0ajSKdFnzZsYQ.pYcl2OfJkxqzAigxKOP59wCQFQvyyvPr3wBWojPsAAE&amp;dib_tag=se&amp;keywords=B0CLYB3QLV&amp;nsdOptOutParam=true&amp;qid=1783370603&amp;s=electronics&amp;sprefix=b0clyb3qlv%2Celectronics%2C107&amp;sr=1-4&amp;th=1</t>
  </si>
  <si>
    <t>B096M5DKY6</t>
  </si>
  <si>
    <t xml:space="preserve">Arducam 100fps Mono Global Shutter USB Camera, 720P OV9281 UVC Webcam Module with Low Distortion M12 Lens Without Microphones, for Computer, Laptop, Android and Raspberry Pi </t>
  </si>
  <si>
    <t>https://www.amazon.com/Arducam-Distortion-Microphones-Computer-Raspberry/dp/B096M5DKY6?crid=1HLQHJQ2ZKIV0&amp;dib=eyJ2IjoiMSJ9.3gtuF_ETTKRFsL_SrpwRJw.dce13lB3gugZRQL1whG93KCFQUaMXbC8L1bxUkbq1Y8&amp;dib_tag=se&amp;keywords=B096M5DKY6&amp;nsdOptOutParam=true&amp;qid=1783370912&amp;s=electronics&amp;sprefix=b096m5dky6%2Celectronics%2C186&amp;sr=1-2&amp;th=1</t>
  </si>
  <si>
    <t>B0C3YGJ8VH</t>
  </si>
  <si>
    <t>Adafruit</t>
  </si>
  <si>
    <t>Micro Servo - MG90D High Torque Metal Gear</t>
  </si>
  <si>
    <t>Air Compressor Isolator Pads</t>
  </si>
  <si>
    <t>Feet</t>
  </si>
  <si>
    <t>B0BXWYNYPZ</t>
  </si>
  <si>
    <t xml:space="preserve">Carlisle FoodService Products Cafe Fast Food Cafeteria Tray with Patterned Surface for Cafeterias, Fast Food, And Dining Room, Plastic, 16.31 X 12.06 X 0.7 Inches, Gray, (Pack of 24) </t>
  </si>
  <si>
    <t>Placed under rig to collect spills</t>
  </si>
  <si>
    <t>CT121623</t>
  </si>
  <si>
    <t>Pack (24)</t>
  </si>
  <si>
    <t>https://www.amazon.com/s?k=B0BXWYNYPZ&amp;i=electronics&amp;crid=259B99NYS0CJW&amp;sprefix=b0bxwynypz%2Celectronics%2C192</t>
  </si>
  <si>
    <t>https://www.amazon.com/Carlisle-CT121623-Caf%C3%A9-Standard-Cafeteria/dp/B007726OT0?crid=ZPMRMUIBQRVR&amp;dib=eyJ2IjoiMSJ9.d5-QuTqy3lh_iYskfte1kenJtlym4FpeOZOLCwwGWo0tbKx4cLnhHBXfZ2VXnaGLg0f-z8SxU8uUB5Hhtl7eog.LRmC6jUbHyWDL_yf_UZvzIHo2E0Nn9odb_TZoIAgRgE&amp;dib_tag=se&amp;keywords=CT121623&amp;qid=1783371336&amp;s=electronics&amp;sprefix=ct121623%2Celectronics%2C365&amp;sr=1-2</t>
  </si>
  <si>
    <t>https://www.adafruit.com/product/1143</t>
  </si>
  <si>
    <t>Behavior Rig (Custom Components)</t>
  </si>
  <si>
    <t>SECTION TOTAL COST (Per Rig)</t>
  </si>
  <si>
    <t>Headplate (Implant)</t>
  </si>
  <si>
    <t>eMachineShop</t>
  </si>
  <si>
    <t>File</t>
  </si>
  <si>
    <t>headplate.ems</t>
  </si>
  <si>
    <t>Headplate Holder Arm</t>
  </si>
  <si>
    <t>Quote (20)</t>
  </si>
  <si>
    <t>headplateholder_arm.ems</t>
  </si>
  <si>
    <t>Rotary Encoder/Platform</t>
  </si>
  <si>
    <t>PLA Plastic</t>
  </si>
  <si>
    <t>3DPrint (in-house)</t>
  </si>
  <si>
    <t>Servomotor Mount</t>
  </si>
  <si>
    <t>Tweeter Mount</t>
  </si>
  <si>
    <t>~$2</t>
  </si>
  <si>
    <t>Touchscreen Mount</t>
  </si>
  <si>
    <t>Computer/Electronic Control</t>
  </si>
  <si>
    <t>Dell</t>
  </si>
  <si>
    <t>210-BKXM</t>
  </si>
  <si>
    <t>Ultra Small DT: OptiPlex Micro Form Factor (7020)OptiPlex Micro Form Factor 7020</t>
  </si>
  <si>
    <t>Recommended replacement for above</t>
  </si>
  <si>
    <t>Raspberry Pi 5 - 8GB</t>
  </si>
  <si>
    <t>DEV-23551</t>
  </si>
  <si>
    <t>https://www.sparkfun.com/raspberry-pi-5-8gb.html</t>
  </si>
  <si>
    <t>https://www.dell.com/en-us/shop/desktop-computers/optiplex-micro-form-factor/spd/optiplex-7020-micro</t>
  </si>
  <si>
    <t>Arduino Uno</t>
  </si>
  <si>
    <t>https://store-usa.arduino.cc/products/arduino-uno-rev3</t>
  </si>
  <si>
    <t>1050-1024-ND</t>
  </si>
  <si>
    <t>Digikey</t>
  </si>
  <si>
    <t>JLCPCB</t>
  </si>
  <si>
    <t>Quote (20) Includes shipping</t>
  </si>
  <si>
    <t>Surgical Implant (Custom)</t>
  </si>
  <si>
    <t>GRAND TOTAL PER RIG</t>
  </si>
  <si>
    <t>Quote (1000)</t>
  </si>
  <si>
    <t>Solenoid Mount</t>
  </si>
  <si>
    <t>Blunt tip needles</t>
  </si>
  <si>
    <t xml:space="preserve">Oatey Solder 1Oz Silver Safe Flo 53061 </t>
  </si>
  <si>
    <t>B017085DUG</t>
  </si>
  <si>
    <t>1Oz</t>
  </si>
  <si>
    <t>https://www.amazon.com/Oatey-Solder-Silver-Safe-53061/dp/B017085DUG?crid=3OAV7V42QTLG4&amp;dib=eyJ2IjoiMSJ9.TFezj_ILmAgKjAb6UZIOPg.ZyEpURelrtUs-6qoTFHNqfZBoZz9nor5uwPkzCERDZA&amp;dib_tag=se&amp;keywords=B017085DUG&amp;nsdOptOutParam=true&amp;qid=1783445340&amp;sprefix=b017085dug%2Caps%2C99&amp;sr=8-1</t>
  </si>
  <si>
    <t>https://www.amazon.com/Rubyfluid-FLSRUBYFLUIDSS-RubyFluid-Stainless-Steel/dp/B007BGYQEC?crid=254LGUYKK6YG5&amp;dib=eyJ2IjoiMSJ9.-_vbTtimaiE45BeSjaWGb9TguEG1OcwsE4S90_4zx9Ei29O2Jf_wYMkQS3ad66Eue4J0Dn_-PDyPOKfR7khrJ7TC_ctQwe3a0iLcityeiapzlKeTbJZnjZYjsaDdaNrqt8JN8jZXSc6fikWudR8BkdYvBkuDSGHWXH6mX7i7GJ4080jad9PWHYPMXMrZLzMLHWxE6LEheqy0cikeDyi_4qy24f9dBfYedAir8dck-T_HGHbLhSGmDRYU_uA7V5VOqpxUFjdh-v6hHWPaIXggAUZgF3rGz8owZDkeuxl2tNs.U07OY8FRtiXJE-eTieM-DRWkV3YMpYJKSygCTHf3zh8&amp;dib_tag=se&amp;keywords=Stainless+Steel+Soldering+Flux+%E2%80%93+1+Pint+Bottle+%7C+Industrial-Grade+Acid+Flux+for+Steel%2C+Brass%2C+Nickel+%26+Hard-to-Solder+Metals+%7C+Fast+Acting%2C+Strong+Bond%2C+Made+in+USA&amp;nsdOptOutParam=true&amp;qid=1783445372&amp;sprefix=stainless+steel+soldering+flux+1+pint+bottle+industrial-grade+acid+flux+for+steel%2C+brass%2C+nickel+%26+hard-to-solder+metals+fast+acting%2C+strong+bond%2C+made+in+usa%2Caps%2C149&amp;sr=8-1</t>
  </si>
  <si>
    <t>Ruby's Stainless Steel Soldering Flux</t>
  </si>
  <si>
    <t>B007BGYQEC</t>
  </si>
  <si>
    <t>1 Pint</t>
  </si>
  <si>
    <t>McMaster Carr</t>
  </si>
  <si>
    <t>75165A246</t>
  </si>
  <si>
    <t>94639A534</t>
  </si>
  <si>
    <t>Pack (100)</t>
  </si>
  <si>
    <t>Luer Lock Fitting Plug</t>
  </si>
  <si>
    <t>51525K211</t>
  </si>
  <si>
    <t>Luer Lock Fitting Socket</t>
  </si>
  <si>
    <t>51525K121</t>
  </si>
  <si>
    <t>McMaster Car</t>
  </si>
  <si>
    <t>89965K15</t>
  </si>
  <si>
    <t>Pack (10)</t>
  </si>
  <si>
    <t>3 ft</t>
  </si>
  <si>
    <t>2-way Normally Closed Solenoid Valves</t>
  </si>
  <si>
    <t>NResearch</t>
  </si>
  <si>
    <t>161K011</t>
  </si>
  <si>
    <t>Zero Dead Volume Barb Fittings, 10-32 x 1/16, Option 2: PCTFE</t>
  </si>
  <si>
    <t>FITM328</t>
  </si>
  <si>
    <t>Soft Masterkleer PVC Tubing for Air and Water, 1/16" ID, 1/8" OD</t>
  </si>
  <si>
    <t>5233K51</t>
  </si>
  <si>
    <t>100ft</t>
  </si>
  <si>
    <t>See included "HudaHub" file and instructions for ordering</t>
  </si>
  <si>
    <t>Custom</t>
  </si>
  <si>
    <t>Custom PCB shield</t>
  </si>
  <si>
    <t>White Nylon Spacers</t>
  </si>
  <si>
    <t xml:space="preserve">24 Pack-12 x 12 x 2 Inches Pyramid Designed Acoustic Foam Panels, Sound Proof Foam Panels Black, High Density and Fire Resistant Acoustic Panels, Sound Panels, Studio Foam for Wall and Ceiling </t>
  </si>
  <si>
    <t>B08QN6B2FD</t>
  </si>
  <si>
    <t>For sound attentuation</t>
  </si>
  <si>
    <t>Pack (12)</t>
  </si>
  <si>
    <t>https://www.amazon.com/Thick-Pyramid-Acoustic-Sound-Panels/dp/B08QN6B2FD?crid=278PCHRVENR4I&amp;dib=eyJ2IjoiMSJ9.75TEqaBXNGp5zPICFXG_uw.1W0LtdmI2tolMiVwCzktY_K7-G059LY9lLaXO3wySfs&amp;dib_tag=se&amp;keywords=B08QN6B2FD&amp;nsdOptOutParam=true&amp;qid=1785529470&amp;sprefix=b08qn6b2fd%2Caps%2C137&amp;sr=8-6&amp;th=1</t>
  </si>
  <si>
    <t xml:space="preserve">Antrader Stainless Steel Heavy Duty Closet Rod Holder,4Pcs Closet Rod Flange Flange Rod Holder Closet Pole Shower Curtain Rod Pole End Supports Sockets Flange for Diameter 2 inch (51mm) Steel Pipe </t>
  </si>
  <si>
    <t>https://www.amazon.com/Antrader-Stainless-Curtain-Supports-Diameter/dp/B0CX15W87M?crid=31R0U3T7VMLES&amp;dib=eyJ2IjoiMSJ9.uX2EtIOQpVjzlOJJa86G8A._7SORpVNaCw1-J9n52BzOZZ0bmCdJnrmN8MW8I7BWyA&amp;dib_tag=se&amp;keywords=B0CX15W87M&amp;nsdOptOutParam=true&amp;qid=1785529572&amp;sprefix=b0cx15w87m%252Caps%252C175&amp;sr=8-2</t>
  </si>
  <si>
    <t xml:space="preserve">2 Inch x 36 Inch 1 PCS Dowel Rods Wood Sticks Wooden Dowel Rods - Unfinished Bamboo Sticks - for Crafts and DIYers </t>
  </si>
  <si>
    <t>B0CX15W87M</t>
  </si>
  <si>
    <t>B0CXN25LJJ</t>
  </si>
  <si>
    <t>Each</t>
  </si>
  <si>
    <t>1/4"-20 Stainless Steel Setscrew, 3/4" Long, 25 Pack</t>
  </si>
  <si>
    <t>SS25S075</t>
  </si>
  <si>
    <t>pack (25)</t>
  </si>
  <si>
    <t>Metal Pipe, Aluminum</t>
  </si>
  <si>
    <t>https://jlcpcb.com/</t>
  </si>
  <si>
    <t>Reed Relay edr201a0500</t>
  </si>
  <si>
    <t>Jameco</t>
  </si>
  <si>
    <t>106463 (SKU:EDR201A05Z)</t>
  </si>
  <si>
    <t>HiLetgo 20pcs 40P 2.54mm Pitch Single Row Pin Header Strip 40Pin 2.54mm Pitch</t>
  </si>
  <si>
    <t>B07R5QDL8D</t>
  </si>
  <si>
    <t>Raspberry Pi Screen 7inch Monitor IPS 1024x600 HDMI Capacative 7'' Touch Screen Monitors Compatible with 3B+/3/2 B/B+/ Banana Pi Windows10/8.1/8/7 Driver Free 5-Point Raspberry pi Display</t>
  </si>
  <si>
    <t>B0BZGW51FY</t>
  </si>
  <si>
    <t>Item #</t>
  </si>
  <si>
    <t>SH25S100</t>
  </si>
  <si>
    <t>1/4"-20 Stainless Steel Cap Screw, 1" Long, 25 Pack</t>
  </si>
  <si>
    <t>1/4"-20 Stainless Steel Cap Screw, 3/4" Long, 25 Pack</t>
  </si>
  <si>
    <t>SH25S075</t>
  </si>
  <si>
    <t xml:space="preserve">Rubber Feet, Speaker Feet,16 Pack, 1.6“W x 0.4”H | Heavy Duty Speaker Rubber Feet Use for Subwoofer Feet, Road Case Feet，Cutting Board feet,Furniture Feet, 40mm x 10mm, Black </t>
  </si>
  <si>
    <t xml:space="preserve">iexcell 100 Pcs #8-32 x 1 Stainless Steel 304 Hex Socket Button Head Cap Screws Bolts Kit </t>
  </si>
  <si>
    <t>1/4"-20 Stainless Steel Cap Screw, 5/8" Long, 25 Pack</t>
  </si>
  <si>
    <t>SH25S063</t>
  </si>
  <si>
    <t>pack (16)</t>
  </si>
  <si>
    <t>B096RC5ZCX</t>
  </si>
  <si>
    <t>B0C5MCZD2X</t>
  </si>
  <si>
    <t>pack (100)</t>
  </si>
  <si>
    <t>Rotary Encoder/Wheel Adapter</t>
  </si>
  <si>
    <t>Tough Resin</t>
  </si>
  <si>
    <t>~$5</t>
  </si>
  <si>
    <t>Hook with Acrylic Adhesive Back</t>
  </si>
  <si>
    <t>McMasterCarr</t>
  </si>
  <si>
    <t>96035K21</t>
  </si>
  <si>
    <t>15 ft</t>
  </si>
  <si>
    <t>LOOP with Acrylic Adhesive Back</t>
  </si>
  <si>
    <t>96035K41</t>
  </si>
  <si>
    <t xml:space="preserve">Gorilla 2 Part Epoxy, Incredibly Strong Bonding, 5 Minute Set, 0.85 oz | Water Resistant, Bonds Uneven or Vertical Surfaces, Easy-to-Use Syringe </t>
  </si>
  <si>
    <t>B001Z3C3AG</t>
  </si>
  <si>
    <t>Ø1/2" Post Holder, Spring-Loaded Hex-Locking Thumbscrew, L = 0.5", 5 Pack</t>
  </si>
  <si>
    <t>PRV AUDIO Soft Dome Tweeters 240 Watts 4 Ohm TW150SD-4 with Built-in Crossover, 32 mm Silk Dome, Neodymium Magnet for Car Audio and Motorcycle Systems Easy Flush Mount (Pair)</t>
  </si>
  <si>
    <t>Received</t>
  </si>
  <si>
    <t>pack of 2</t>
  </si>
  <si>
    <t>~$1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</si>
</sst>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8" fontId="0" fillId="0" borderId="0" xfId="0" applyNumberFormat="1"/>
    <xf numFmtId="44" fontId="0" fillId="0" borderId="0" xfId="1" applyFont="1"/>
    <xf numFmtId="44" fontId="0" fillId="0" borderId="0" xfId="0" applyNumberFormat="1"/>
    <xf numFmtId="0" fontId="4" fillId="0" borderId="0" xfId="2"/>
    <xf numFmtId="44" fontId="2" fillId="0" borderId="0" xfId="0" applyNumberFormat="1" applyFont="1"/>
    <xf numFmtId="44" fontId="2" fillId="2" borderId="0" xfId="0" applyNumberFormat="1" applyFont="1" applyFill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8" fontId="0" fillId="2" borderId="0" xfId="0" applyNumberFormat="1" applyFill="1"/>
    <xf numFmtId="8" fontId="2" fillId="2" borderId="0" xfId="0" applyNumberFormat="1" applyFont="1" applyFill="1"/>
    <xf numFmtId="44" fontId="0" fillId="2" borderId="0" xfId="0" applyNumberFormat="1" applyFill="1"/>
    <xf numFmtId="6" fontId="0" fillId="2" borderId="0" xfId="0" applyNumberFormat="1" applyFill="1"/>
    <xf numFmtId="44" fontId="0" fillId="2" borderId="0" xfId="1" applyFont="1" applyFill="1"/>
    <xf numFmtId="8" fontId="0" fillId="0" borderId="0" xfId="1" applyNumberFormat="1" applyFont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thorlabs.com/item/MB810" TargetMode="External"/><Relationship Id="rId1" Type="http://schemas.openxmlformats.org/officeDocument/2006/relationships/hyperlink" Target="https://www.thorlabs.com/item/PH2-P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83"/>
  <sheetViews>
    <sheetView tabSelected="1" topLeftCell="A27" zoomScale="85" zoomScaleNormal="85" workbookViewId="0">
      <selection activeCell="B46" sqref="B46"/>
    </sheetView>
  </sheetViews>
  <sheetFormatPr defaultRowHeight="15" x14ac:dyDescent="0.25"/>
  <cols>
    <col min="1" max="1" width="9.140625" style="12" customWidth="1"/>
    <col min="2" max="2" width="84.7109375" bestFit="1" customWidth="1"/>
    <col min="3" max="3" width="36.7109375" bestFit="1" customWidth="1"/>
    <col min="4" max="4" width="12.140625" bestFit="1" customWidth="1"/>
    <col min="5" max="5" width="11.140625" bestFit="1" customWidth="1"/>
    <col min="6" max="6" width="10.42578125" bestFit="1" customWidth="1"/>
    <col min="7" max="7" width="12" bestFit="1" customWidth="1"/>
    <col min="8" max="8" width="9" bestFit="1" customWidth="1"/>
    <col min="9" max="9" width="12.5703125" bestFit="1" customWidth="1"/>
    <col min="10" max="10" width="71.5703125" customWidth="1"/>
  </cols>
  <sheetData>
    <row r="1" spans="1:10" x14ac:dyDescent="0.25">
      <c r="A1" s="10" t="s">
        <v>5</v>
      </c>
      <c r="B1" s="8"/>
      <c r="C1" s="8"/>
      <c r="D1" s="8"/>
      <c r="E1" s="8"/>
      <c r="F1" s="8"/>
      <c r="G1" s="8"/>
      <c r="H1" s="8"/>
      <c r="I1" s="8"/>
    </row>
    <row r="2" spans="1:10" x14ac:dyDescent="0.25">
      <c r="A2" s="11" t="s">
        <v>186</v>
      </c>
      <c r="B2" s="1" t="s">
        <v>0</v>
      </c>
      <c r="C2" s="1" t="s">
        <v>7</v>
      </c>
      <c r="D2" s="1" t="s">
        <v>1</v>
      </c>
      <c r="E2" s="1" t="s">
        <v>2</v>
      </c>
      <c r="F2" s="1" t="s">
        <v>14</v>
      </c>
      <c r="G2" s="1" t="s">
        <v>4</v>
      </c>
      <c r="H2" s="1" t="s">
        <v>3</v>
      </c>
      <c r="I2" s="1" t="s">
        <v>38</v>
      </c>
      <c r="J2" s="1" t="s">
        <v>9</v>
      </c>
    </row>
    <row r="3" spans="1:10" x14ac:dyDescent="0.25">
      <c r="A3" s="11">
        <v>1</v>
      </c>
      <c r="B3" t="s">
        <v>6</v>
      </c>
      <c r="C3" t="s">
        <v>11</v>
      </c>
      <c r="D3" t="s">
        <v>8</v>
      </c>
      <c r="E3">
        <v>201566</v>
      </c>
      <c r="F3" t="s">
        <v>15</v>
      </c>
      <c r="G3">
        <v>0.5</v>
      </c>
      <c r="H3" s="2">
        <v>49.98</v>
      </c>
      <c r="I3" s="13">
        <f>G3*H3</f>
        <v>24.99</v>
      </c>
      <c r="J3" t="s">
        <v>10</v>
      </c>
    </row>
    <row r="4" spans="1:10" x14ac:dyDescent="0.25">
      <c r="A4" s="11">
        <v>2</v>
      </c>
      <c r="B4" t="s">
        <v>23</v>
      </c>
      <c r="C4" t="s">
        <v>25</v>
      </c>
      <c r="D4" t="s">
        <v>8</v>
      </c>
      <c r="E4">
        <v>802692</v>
      </c>
      <c r="F4" t="s">
        <v>24</v>
      </c>
      <c r="G4">
        <f>26/50</f>
        <v>0.52</v>
      </c>
      <c r="H4" s="2">
        <v>6.87</v>
      </c>
      <c r="I4" s="13">
        <f>G4*H4</f>
        <v>3.5724</v>
      </c>
      <c r="J4" t="s">
        <v>26</v>
      </c>
    </row>
    <row r="5" spans="1:10" x14ac:dyDescent="0.25">
      <c r="A5" s="11">
        <v>3</v>
      </c>
      <c r="B5" t="s">
        <v>27</v>
      </c>
      <c r="C5" t="s">
        <v>28</v>
      </c>
      <c r="D5" t="s">
        <v>8</v>
      </c>
      <c r="E5">
        <v>62050</v>
      </c>
      <c r="F5" t="s">
        <v>29</v>
      </c>
      <c r="G5">
        <v>0.2</v>
      </c>
      <c r="H5" s="2">
        <v>7.98</v>
      </c>
      <c r="I5" s="13">
        <f>G5*H5</f>
        <v>1.5960000000000001</v>
      </c>
      <c r="J5" t="s">
        <v>33</v>
      </c>
    </row>
    <row r="6" spans="1:10" x14ac:dyDescent="0.25">
      <c r="A6" s="11">
        <v>4</v>
      </c>
      <c r="B6" t="s">
        <v>35</v>
      </c>
      <c r="C6" t="s">
        <v>36</v>
      </c>
      <c r="D6" t="s">
        <v>8</v>
      </c>
      <c r="E6" t="s">
        <v>37</v>
      </c>
      <c r="F6" t="s">
        <v>32</v>
      </c>
      <c r="G6">
        <v>0.2</v>
      </c>
      <c r="H6" s="2">
        <v>38.979999999999997</v>
      </c>
      <c r="I6" s="13">
        <f>G6*H6</f>
        <v>7.7959999999999994</v>
      </c>
      <c r="J6" t="s">
        <v>35</v>
      </c>
    </row>
    <row r="7" spans="1:10" x14ac:dyDescent="0.25">
      <c r="A7" s="11">
        <v>5</v>
      </c>
      <c r="B7" t="s">
        <v>30</v>
      </c>
      <c r="C7" t="s">
        <v>31</v>
      </c>
      <c r="D7" t="s">
        <v>8</v>
      </c>
      <c r="E7">
        <v>270267</v>
      </c>
      <c r="F7" t="s">
        <v>32</v>
      </c>
      <c r="G7">
        <v>0.1</v>
      </c>
      <c r="H7" s="2">
        <v>40.98</v>
      </c>
      <c r="I7" s="13">
        <f>G7*H7</f>
        <v>4.0979999999999999</v>
      </c>
      <c r="J7" t="s">
        <v>34</v>
      </c>
    </row>
    <row r="8" spans="1:10" x14ac:dyDescent="0.25">
      <c r="A8" s="11">
        <v>6</v>
      </c>
      <c r="B8" t="s">
        <v>20</v>
      </c>
      <c r="C8" t="s">
        <v>21</v>
      </c>
      <c r="D8" t="s">
        <v>8</v>
      </c>
      <c r="E8">
        <v>731837</v>
      </c>
      <c r="F8" t="s">
        <v>16</v>
      </c>
      <c r="G8">
        <v>0.5</v>
      </c>
      <c r="H8" s="2">
        <v>19.670000000000002</v>
      </c>
      <c r="I8" s="13">
        <f t="shared" ref="I8:I11" si="0">G8*H8</f>
        <v>9.8350000000000009</v>
      </c>
      <c r="J8" t="s">
        <v>22</v>
      </c>
    </row>
    <row r="9" spans="1:10" x14ac:dyDescent="0.25">
      <c r="A9" s="11">
        <v>7</v>
      </c>
      <c r="B9" t="s">
        <v>12</v>
      </c>
      <c r="C9" t="s">
        <v>13</v>
      </c>
      <c r="D9" t="s">
        <v>8</v>
      </c>
      <c r="E9" t="s">
        <v>19</v>
      </c>
      <c r="F9" t="s">
        <v>17</v>
      </c>
      <c r="G9">
        <v>2</v>
      </c>
      <c r="H9" s="2">
        <v>6.32</v>
      </c>
      <c r="I9" s="13">
        <f t="shared" si="0"/>
        <v>12.64</v>
      </c>
      <c r="J9" t="s">
        <v>18</v>
      </c>
    </row>
    <row r="10" spans="1:10" x14ac:dyDescent="0.25">
      <c r="A10" s="11">
        <v>8</v>
      </c>
      <c r="B10" t="s">
        <v>85</v>
      </c>
      <c r="C10" t="s">
        <v>86</v>
      </c>
      <c r="D10" t="s">
        <v>70</v>
      </c>
      <c r="E10" t="s">
        <v>87</v>
      </c>
      <c r="F10" t="s">
        <v>16</v>
      </c>
      <c r="G10">
        <v>1</v>
      </c>
      <c r="H10" s="2">
        <v>6.99</v>
      </c>
      <c r="I10" s="13">
        <f t="shared" si="0"/>
        <v>6.99</v>
      </c>
      <c r="J10" t="s">
        <v>92</v>
      </c>
    </row>
    <row r="11" spans="1:10" x14ac:dyDescent="0.25">
      <c r="A11" s="11">
        <v>9</v>
      </c>
      <c r="B11" t="s">
        <v>88</v>
      </c>
      <c r="C11" t="s">
        <v>89</v>
      </c>
      <c r="D11" t="s">
        <v>70</v>
      </c>
      <c r="E11" t="s">
        <v>90</v>
      </c>
      <c r="F11" t="s">
        <v>91</v>
      </c>
      <c r="G11">
        <f>1/24</f>
        <v>4.1666666666666664E-2</v>
      </c>
      <c r="H11" s="2">
        <v>66.63</v>
      </c>
      <c r="I11" s="13">
        <f t="shared" si="0"/>
        <v>2.7762499999999997</v>
      </c>
      <c r="J11" t="s">
        <v>93</v>
      </c>
    </row>
    <row r="12" spans="1:10" x14ac:dyDescent="0.25">
      <c r="A12" s="11">
        <v>10</v>
      </c>
      <c r="B12" t="s">
        <v>163</v>
      </c>
      <c r="C12" t="s">
        <v>165</v>
      </c>
      <c r="D12" t="s">
        <v>70</v>
      </c>
      <c r="E12" t="s">
        <v>164</v>
      </c>
      <c r="F12" t="s">
        <v>166</v>
      </c>
      <c r="G12">
        <f>3/12</f>
        <v>0.25</v>
      </c>
      <c r="H12" s="2">
        <v>34.99</v>
      </c>
      <c r="I12" s="13">
        <f t="shared" ref="I12:I14" si="1">G12*H12</f>
        <v>8.7475000000000005</v>
      </c>
      <c r="J12" t="s">
        <v>167</v>
      </c>
    </row>
    <row r="13" spans="1:10" x14ac:dyDescent="0.25">
      <c r="A13" s="11">
        <v>11</v>
      </c>
      <c r="B13" t="s">
        <v>168</v>
      </c>
      <c r="D13" t="s">
        <v>70</v>
      </c>
      <c r="E13" t="s">
        <v>171</v>
      </c>
      <c r="F13" t="s">
        <v>16</v>
      </c>
      <c r="G13">
        <v>1</v>
      </c>
      <c r="H13" s="2">
        <v>15.99</v>
      </c>
      <c r="I13" s="13">
        <f t="shared" si="1"/>
        <v>15.99</v>
      </c>
      <c r="J13" t="s">
        <v>169</v>
      </c>
    </row>
    <row r="14" spans="1:10" x14ac:dyDescent="0.25">
      <c r="A14" s="11">
        <v>12</v>
      </c>
      <c r="B14" t="s">
        <v>170</v>
      </c>
      <c r="D14" t="s">
        <v>70</v>
      </c>
      <c r="E14" t="s">
        <v>172</v>
      </c>
      <c r="F14" t="s">
        <v>173</v>
      </c>
      <c r="G14">
        <f>0.5</f>
        <v>0.5</v>
      </c>
      <c r="H14" s="2">
        <v>25.99</v>
      </c>
      <c r="I14" s="13">
        <f t="shared" si="1"/>
        <v>12.994999999999999</v>
      </c>
    </row>
    <row r="15" spans="1:10" x14ac:dyDescent="0.25">
      <c r="B15" s="1" t="s">
        <v>96</v>
      </c>
      <c r="C15" s="1"/>
      <c r="D15" s="1"/>
      <c r="E15" s="1"/>
      <c r="F15" s="1"/>
      <c r="G15" s="1"/>
      <c r="H15" s="1"/>
      <c r="I15" s="14">
        <f>SUM(I3:I14)</f>
        <v>112.02615</v>
      </c>
    </row>
    <row r="17" spans="1:10" x14ac:dyDescent="0.25">
      <c r="A17" s="10" t="s">
        <v>77</v>
      </c>
    </row>
    <row r="18" spans="1:10" x14ac:dyDescent="0.25">
      <c r="A18" s="11" t="s">
        <v>186</v>
      </c>
      <c r="B18" s="1" t="s">
        <v>0</v>
      </c>
      <c r="C18" s="1" t="s">
        <v>7</v>
      </c>
      <c r="D18" s="1" t="s">
        <v>1</v>
      </c>
      <c r="E18" s="1" t="s">
        <v>2</v>
      </c>
      <c r="F18" s="1" t="s">
        <v>14</v>
      </c>
      <c r="G18" s="1" t="s">
        <v>4</v>
      </c>
      <c r="H18" s="1" t="s">
        <v>3</v>
      </c>
      <c r="I18" s="1" t="s">
        <v>38</v>
      </c>
      <c r="J18" s="1" t="s">
        <v>9</v>
      </c>
    </row>
    <row r="19" spans="1:10" customFormat="1" x14ac:dyDescent="0.25">
      <c r="A19" s="11">
        <v>13</v>
      </c>
      <c r="B19" t="s">
        <v>39</v>
      </c>
      <c r="D19" t="s">
        <v>40</v>
      </c>
      <c r="E19" t="s">
        <v>60</v>
      </c>
      <c r="F19" t="s">
        <v>44</v>
      </c>
      <c r="G19">
        <v>1</v>
      </c>
      <c r="H19" s="3">
        <v>140.81</v>
      </c>
      <c r="I19" s="15">
        <f>G19*H19</f>
        <v>140.81</v>
      </c>
      <c r="J19" s="5" t="s">
        <v>41</v>
      </c>
    </row>
    <row r="20" spans="1:10" customFormat="1" x14ac:dyDescent="0.25">
      <c r="A20" s="11">
        <v>14</v>
      </c>
      <c r="B20" t="s">
        <v>191</v>
      </c>
      <c r="D20" t="s">
        <v>70</v>
      </c>
      <c r="E20" t="s">
        <v>196</v>
      </c>
      <c r="F20" t="s">
        <v>195</v>
      </c>
      <c r="G20">
        <f>1/4</f>
        <v>0.25</v>
      </c>
      <c r="H20" s="18">
        <v>8.99</v>
      </c>
      <c r="I20" s="15">
        <f>G20*H20</f>
        <v>2.2475000000000001</v>
      </c>
      <c r="J20" s="5"/>
    </row>
    <row r="21" spans="1:10" customFormat="1" x14ac:dyDescent="0.25">
      <c r="A21" s="11">
        <v>15</v>
      </c>
      <c r="B21" t="s">
        <v>192</v>
      </c>
      <c r="D21" t="s">
        <v>70</v>
      </c>
      <c r="E21" t="s">
        <v>197</v>
      </c>
      <c r="F21" t="s">
        <v>198</v>
      </c>
      <c r="G21">
        <f>4/100</f>
        <v>0.04</v>
      </c>
      <c r="H21" s="3">
        <v>7.86</v>
      </c>
      <c r="I21" s="15">
        <f>G21*H21</f>
        <v>0.31440000000000001</v>
      </c>
      <c r="J21" s="5"/>
    </row>
    <row r="22" spans="1:10" customFormat="1" x14ac:dyDescent="0.25">
      <c r="A22" s="11">
        <v>16</v>
      </c>
      <c r="B22" t="s">
        <v>193</v>
      </c>
      <c r="D22" t="s">
        <v>40</v>
      </c>
      <c r="E22" t="s">
        <v>194</v>
      </c>
      <c r="F22" t="s">
        <v>176</v>
      </c>
      <c r="G22">
        <v>1</v>
      </c>
      <c r="H22" s="3">
        <v>15.14</v>
      </c>
      <c r="I22" s="15">
        <f>G22*H22</f>
        <v>15.14</v>
      </c>
      <c r="J22" s="5"/>
    </row>
    <row r="23" spans="1:10" customFormat="1" x14ac:dyDescent="0.25">
      <c r="A23" s="11">
        <v>17</v>
      </c>
      <c r="B23" t="s">
        <v>174</v>
      </c>
      <c r="D23" t="s">
        <v>40</v>
      </c>
      <c r="E23" t="s">
        <v>175</v>
      </c>
      <c r="F23" t="s">
        <v>176</v>
      </c>
      <c r="G23">
        <v>1</v>
      </c>
      <c r="H23" s="2">
        <v>8.14</v>
      </c>
      <c r="I23" s="15">
        <f>G23*H23</f>
        <v>8.14</v>
      </c>
    </row>
    <row r="24" spans="1:10" customFormat="1" x14ac:dyDescent="0.25">
      <c r="A24" s="11">
        <v>18</v>
      </c>
      <c r="B24" t="s">
        <v>188</v>
      </c>
      <c r="D24" t="s">
        <v>40</v>
      </c>
      <c r="E24" t="s">
        <v>187</v>
      </c>
      <c r="F24" t="s">
        <v>176</v>
      </c>
      <c r="G24">
        <v>1</v>
      </c>
      <c r="H24" s="2">
        <v>12.34</v>
      </c>
      <c r="I24" s="15">
        <f>G24*H24</f>
        <v>12.34</v>
      </c>
    </row>
    <row r="25" spans="1:10" customFormat="1" x14ac:dyDescent="0.25">
      <c r="A25" s="11">
        <v>19</v>
      </c>
      <c r="B25" t="s">
        <v>189</v>
      </c>
      <c r="D25" t="s">
        <v>40</v>
      </c>
      <c r="E25" t="s">
        <v>190</v>
      </c>
      <c r="F25" t="s">
        <v>176</v>
      </c>
      <c r="G25">
        <v>1</v>
      </c>
      <c r="H25" s="2">
        <v>17.71</v>
      </c>
      <c r="I25" s="15">
        <f>G25*H25</f>
        <v>17.71</v>
      </c>
    </row>
    <row r="26" spans="1:10" customFormat="1" x14ac:dyDescent="0.25">
      <c r="A26" s="11">
        <v>20</v>
      </c>
      <c r="B26" t="s">
        <v>50</v>
      </c>
      <c r="D26" t="s">
        <v>40</v>
      </c>
      <c r="E26" t="s">
        <v>49</v>
      </c>
      <c r="F26" t="s">
        <v>44</v>
      </c>
      <c r="G26">
        <f>3/5</f>
        <v>0.6</v>
      </c>
      <c r="H26" s="2">
        <v>32.1</v>
      </c>
      <c r="I26" s="15">
        <f>G26*H26</f>
        <v>19.260000000000002</v>
      </c>
      <c r="J26" t="s">
        <v>48</v>
      </c>
    </row>
    <row r="27" spans="1:10" customFormat="1" x14ac:dyDescent="0.25">
      <c r="A27" s="11">
        <v>21</v>
      </c>
      <c r="B27" t="s">
        <v>51</v>
      </c>
      <c r="D27" t="s">
        <v>40</v>
      </c>
      <c r="E27" t="s">
        <v>47</v>
      </c>
      <c r="F27" t="s">
        <v>44</v>
      </c>
      <c r="G27">
        <f>2/5</f>
        <v>0.4</v>
      </c>
      <c r="H27" s="2">
        <v>45.66</v>
      </c>
      <c r="I27" s="15">
        <f>G27*H27</f>
        <v>18.263999999999999</v>
      </c>
      <c r="J27" s="5" t="s">
        <v>46</v>
      </c>
    </row>
    <row r="28" spans="1:10" customFormat="1" x14ac:dyDescent="0.25">
      <c r="A28" s="11">
        <v>22</v>
      </c>
      <c r="B28" t="s">
        <v>68</v>
      </c>
      <c r="D28" t="s">
        <v>69</v>
      </c>
      <c r="E28" t="s">
        <v>72</v>
      </c>
      <c r="F28" t="s">
        <v>65</v>
      </c>
      <c r="G28">
        <v>1</v>
      </c>
      <c r="H28" s="2">
        <v>48.5</v>
      </c>
      <c r="I28" s="15">
        <f>G28*H28</f>
        <v>48.5</v>
      </c>
      <c r="J28" t="s">
        <v>71</v>
      </c>
    </row>
    <row r="29" spans="1:10" customFormat="1" x14ac:dyDescent="0.25">
      <c r="A29" s="11">
        <v>23</v>
      </c>
      <c r="B29" t="s">
        <v>74</v>
      </c>
      <c r="C29" t="s">
        <v>75</v>
      </c>
      <c r="D29" t="s">
        <v>70</v>
      </c>
      <c r="E29" t="s">
        <v>73</v>
      </c>
      <c r="F29" t="s">
        <v>76</v>
      </c>
      <c r="G29">
        <f>1/4</f>
        <v>0.25</v>
      </c>
      <c r="H29" s="2">
        <v>9.99</v>
      </c>
      <c r="I29" s="15">
        <f>G29*H29</f>
        <v>2.4975000000000001</v>
      </c>
    </row>
    <row r="30" spans="1:10" customFormat="1" x14ac:dyDescent="0.25">
      <c r="A30" s="11">
        <v>24</v>
      </c>
      <c r="B30" t="s">
        <v>177</v>
      </c>
      <c r="D30" t="s">
        <v>147</v>
      </c>
      <c r="E30" t="s">
        <v>148</v>
      </c>
      <c r="F30" t="s">
        <v>150</v>
      </c>
      <c r="G30">
        <f>1/10</f>
        <v>0.1</v>
      </c>
      <c r="H30" s="2">
        <v>17.77</v>
      </c>
      <c r="I30" s="15">
        <f>G30*H30</f>
        <v>1.7770000000000001</v>
      </c>
    </row>
    <row r="31" spans="1:10" customFormat="1" x14ac:dyDescent="0.25">
      <c r="A31" s="11">
        <v>25</v>
      </c>
      <c r="B31" t="s">
        <v>202</v>
      </c>
      <c r="D31" t="s">
        <v>203</v>
      </c>
      <c r="E31" t="s">
        <v>204</v>
      </c>
      <c r="F31" t="s">
        <v>205</v>
      </c>
      <c r="G31">
        <f>2/300</f>
        <v>6.6666666666666671E-3</v>
      </c>
      <c r="H31" s="2">
        <v>38.700000000000003</v>
      </c>
      <c r="I31" s="15">
        <f>G31*H31</f>
        <v>0.25800000000000006</v>
      </c>
    </row>
    <row r="32" spans="1:10" customFormat="1" x14ac:dyDescent="0.25">
      <c r="A32" s="11">
        <v>26</v>
      </c>
      <c r="B32" t="s">
        <v>206</v>
      </c>
      <c r="D32" t="s">
        <v>203</v>
      </c>
      <c r="E32" t="s">
        <v>207</v>
      </c>
      <c r="F32" t="s">
        <v>205</v>
      </c>
      <c r="G32">
        <f>2/300</f>
        <v>6.6666666666666671E-3</v>
      </c>
      <c r="H32" s="2">
        <v>38.700000000000003</v>
      </c>
      <c r="I32" s="15">
        <f>G32*H32</f>
        <v>0.25800000000000006</v>
      </c>
    </row>
    <row r="33" spans="1:10" customFormat="1" x14ac:dyDescent="0.25">
      <c r="A33" s="11">
        <v>27</v>
      </c>
      <c r="B33" t="s">
        <v>145</v>
      </c>
      <c r="D33" t="s">
        <v>139</v>
      </c>
      <c r="E33" t="s">
        <v>146</v>
      </c>
      <c r="F33" t="s">
        <v>149</v>
      </c>
      <c r="G33">
        <f>1/5</f>
        <v>0.2</v>
      </c>
      <c r="H33" s="2">
        <v>4.9400000000000004</v>
      </c>
      <c r="I33" s="15">
        <f>G33*H33</f>
        <v>0.9880000000000001</v>
      </c>
    </row>
    <row r="34" spans="1:10" customFormat="1" x14ac:dyDescent="0.25">
      <c r="A34" s="11">
        <v>28</v>
      </c>
      <c r="B34" t="s">
        <v>156</v>
      </c>
      <c r="D34" t="s">
        <v>147</v>
      </c>
      <c r="E34" t="s">
        <v>157</v>
      </c>
      <c r="F34" t="s">
        <v>158</v>
      </c>
      <c r="G34">
        <f>3/100</f>
        <v>0.03</v>
      </c>
      <c r="H34" s="2">
        <v>29</v>
      </c>
      <c r="I34" s="15">
        <f>G34*H34</f>
        <v>0.87</v>
      </c>
    </row>
    <row r="35" spans="1:10" customFormat="1" x14ac:dyDescent="0.25">
      <c r="A35" s="11">
        <v>29</v>
      </c>
      <c r="B35" t="s">
        <v>162</v>
      </c>
      <c r="D35" t="s">
        <v>139</v>
      </c>
      <c r="E35" t="s">
        <v>141</v>
      </c>
      <c r="F35" t="s">
        <v>142</v>
      </c>
      <c r="G35">
        <f>1/100</f>
        <v>0.01</v>
      </c>
      <c r="H35" s="2">
        <v>10.83</v>
      </c>
      <c r="I35" s="15">
        <f>G35*H35</f>
        <v>0.10830000000000001</v>
      </c>
    </row>
    <row r="36" spans="1:10" customFormat="1" x14ac:dyDescent="0.25">
      <c r="A36" s="11">
        <v>30</v>
      </c>
      <c r="B36" t="s">
        <v>208</v>
      </c>
      <c r="D36" t="s">
        <v>70</v>
      </c>
      <c r="E36" t="s">
        <v>209</v>
      </c>
      <c r="F36" t="s">
        <v>65</v>
      </c>
      <c r="G36">
        <f>0.1</f>
        <v>0.1</v>
      </c>
      <c r="H36" s="2">
        <v>5.97</v>
      </c>
      <c r="I36" s="15">
        <f>G36*H36</f>
        <v>0.59699999999999998</v>
      </c>
    </row>
    <row r="37" spans="1:10" customFormat="1" x14ac:dyDescent="0.25">
      <c r="A37" s="11">
        <v>31</v>
      </c>
      <c r="B37" t="s">
        <v>151</v>
      </c>
      <c r="D37" t="s">
        <v>152</v>
      </c>
      <c r="E37" t="s">
        <v>153</v>
      </c>
      <c r="F37" t="s">
        <v>65</v>
      </c>
      <c r="G37">
        <v>1</v>
      </c>
      <c r="H37" s="2">
        <v>86.17</v>
      </c>
      <c r="I37" s="15">
        <f>G37*H37</f>
        <v>86.17</v>
      </c>
    </row>
    <row r="38" spans="1:10" customFormat="1" x14ac:dyDescent="0.25">
      <c r="A38" s="11">
        <v>32</v>
      </c>
      <c r="B38" t="s">
        <v>143</v>
      </c>
      <c r="D38" t="s">
        <v>139</v>
      </c>
      <c r="E38" t="s">
        <v>144</v>
      </c>
      <c r="F38" t="s">
        <v>149</v>
      </c>
      <c r="G38">
        <f>1/5</f>
        <v>0.2</v>
      </c>
      <c r="H38" s="2">
        <v>4.79</v>
      </c>
      <c r="I38" s="15">
        <f>G38*H38</f>
        <v>0.95800000000000007</v>
      </c>
    </row>
    <row r="39" spans="1:10" customFormat="1" x14ac:dyDescent="0.25">
      <c r="A39" s="11">
        <v>33</v>
      </c>
      <c r="B39" t="s">
        <v>154</v>
      </c>
      <c r="D39" t="s">
        <v>152</v>
      </c>
      <c r="E39" t="s">
        <v>155</v>
      </c>
      <c r="F39" t="s">
        <v>65</v>
      </c>
      <c r="G39">
        <v>2</v>
      </c>
      <c r="H39" s="2">
        <v>10.28</v>
      </c>
      <c r="I39" s="15">
        <f>G39*H39</f>
        <v>20.56</v>
      </c>
    </row>
    <row r="40" spans="1:10" customFormat="1" x14ac:dyDescent="0.25">
      <c r="A40" s="11">
        <v>34</v>
      </c>
      <c r="B40" t="s">
        <v>130</v>
      </c>
      <c r="D40" t="s">
        <v>139</v>
      </c>
      <c r="E40" t="s">
        <v>140</v>
      </c>
      <c r="F40" t="s">
        <v>24</v>
      </c>
      <c r="G40">
        <f>1/50</f>
        <v>0.02</v>
      </c>
      <c r="H40" s="2">
        <v>8.24</v>
      </c>
      <c r="I40" s="15">
        <f>G40*H40</f>
        <v>0.1648</v>
      </c>
      <c r="J40" t="s">
        <v>135</v>
      </c>
    </row>
    <row r="41" spans="1:10" customFormat="1" x14ac:dyDescent="0.25">
      <c r="A41" s="11">
        <v>35</v>
      </c>
      <c r="B41" t="s">
        <v>136</v>
      </c>
      <c r="D41" t="s">
        <v>70</v>
      </c>
      <c r="E41" t="s">
        <v>137</v>
      </c>
      <c r="F41" t="s">
        <v>138</v>
      </c>
      <c r="G41">
        <v>0.01</v>
      </c>
      <c r="H41" s="2">
        <v>19.989999999999998</v>
      </c>
      <c r="I41" s="15">
        <f>G41*H41</f>
        <v>0.19989999999999999</v>
      </c>
      <c r="J41" t="s">
        <v>134</v>
      </c>
    </row>
    <row r="42" spans="1:10" customFormat="1" x14ac:dyDescent="0.25">
      <c r="A42" s="11">
        <v>36</v>
      </c>
      <c r="B42" t="s">
        <v>131</v>
      </c>
      <c r="D42" t="s">
        <v>70</v>
      </c>
      <c r="E42" t="s">
        <v>132</v>
      </c>
      <c r="F42" t="s">
        <v>133</v>
      </c>
      <c r="G42">
        <v>0.05</v>
      </c>
      <c r="H42" s="2">
        <v>12.48</v>
      </c>
      <c r="I42" s="15">
        <f>G42*H42</f>
        <v>0.62400000000000011</v>
      </c>
      <c r="J42" s="5" t="s">
        <v>53</v>
      </c>
    </row>
    <row r="43" spans="1:10" customFormat="1" x14ac:dyDescent="0.25">
      <c r="A43" s="11">
        <v>37</v>
      </c>
      <c r="B43" t="s">
        <v>42</v>
      </c>
      <c r="D43" t="s">
        <v>40</v>
      </c>
      <c r="E43" t="s">
        <v>43</v>
      </c>
      <c r="F43" t="s">
        <v>44</v>
      </c>
      <c r="G43">
        <v>0.2</v>
      </c>
      <c r="H43" s="2">
        <v>56.45</v>
      </c>
      <c r="I43" s="15">
        <f>G43*H43</f>
        <v>11.290000000000001</v>
      </c>
      <c r="J43" t="s">
        <v>45</v>
      </c>
    </row>
    <row r="44" spans="1:10" customFormat="1" x14ac:dyDescent="0.25">
      <c r="A44" s="11">
        <v>38</v>
      </c>
      <c r="B44" t="s">
        <v>210</v>
      </c>
      <c r="D44" t="s">
        <v>40</v>
      </c>
      <c r="E44" t="s">
        <v>52</v>
      </c>
      <c r="F44" t="s">
        <v>44</v>
      </c>
      <c r="G44">
        <f>3/5</f>
        <v>0.6</v>
      </c>
      <c r="H44" s="2">
        <v>41.7</v>
      </c>
      <c r="I44" s="15">
        <f>G44*H44</f>
        <v>25.02</v>
      </c>
      <c r="J44" s="5" t="s">
        <v>61</v>
      </c>
    </row>
    <row r="45" spans="1:10" customFormat="1" x14ac:dyDescent="0.25">
      <c r="A45" s="11">
        <v>39</v>
      </c>
      <c r="B45" t="s">
        <v>62</v>
      </c>
      <c r="D45" t="s">
        <v>40</v>
      </c>
      <c r="E45" t="s">
        <v>59</v>
      </c>
      <c r="F45" t="s">
        <v>44</v>
      </c>
      <c r="G45">
        <f>2/5</f>
        <v>0.4</v>
      </c>
      <c r="H45" s="2">
        <v>27.08</v>
      </c>
      <c r="I45" s="15">
        <f>G45*H45</f>
        <v>10.832000000000001</v>
      </c>
      <c r="J45" t="s">
        <v>56</v>
      </c>
    </row>
    <row r="46" spans="1:10" customFormat="1" x14ac:dyDescent="0.25">
      <c r="A46" s="11">
        <v>40</v>
      </c>
      <c r="B46" t="s">
        <v>80</v>
      </c>
      <c r="D46" t="s">
        <v>70</v>
      </c>
      <c r="E46" t="s">
        <v>79</v>
      </c>
      <c r="F46" t="s">
        <v>65</v>
      </c>
      <c r="G46">
        <v>1</v>
      </c>
      <c r="H46" s="2">
        <v>49.99</v>
      </c>
      <c r="I46" s="15">
        <f>G46*H46</f>
        <v>49.99</v>
      </c>
      <c r="J46" t="s">
        <v>94</v>
      </c>
    </row>
    <row r="47" spans="1:10" customFormat="1" x14ac:dyDescent="0.25">
      <c r="A47" s="11">
        <v>41</v>
      </c>
      <c r="B47" t="s">
        <v>54</v>
      </c>
      <c r="D47" t="s">
        <v>40</v>
      </c>
      <c r="E47" t="s">
        <v>55</v>
      </c>
      <c r="F47" t="s">
        <v>44</v>
      </c>
      <c r="G47">
        <f>1/5</f>
        <v>0.2</v>
      </c>
      <c r="H47" s="2">
        <v>25.92</v>
      </c>
      <c r="I47" s="15">
        <f>G47*H47</f>
        <v>5.1840000000000011</v>
      </c>
      <c r="J47" t="s">
        <v>57</v>
      </c>
    </row>
    <row r="48" spans="1:10" customFormat="1" x14ac:dyDescent="0.25">
      <c r="A48" s="11">
        <v>42</v>
      </c>
      <c r="B48" t="s">
        <v>84</v>
      </c>
      <c r="D48" t="s">
        <v>83</v>
      </c>
      <c r="E48">
        <v>1143</v>
      </c>
      <c r="F48" t="s">
        <v>65</v>
      </c>
      <c r="G48">
        <v>1</v>
      </c>
      <c r="H48" s="2">
        <v>9.9499999999999993</v>
      </c>
      <c r="I48" s="15">
        <f>G48*H48</f>
        <v>9.9499999999999993</v>
      </c>
    </row>
    <row r="49" spans="1:16384" customFormat="1" x14ac:dyDescent="0.25">
      <c r="A49" s="11">
        <v>43</v>
      </c>
      <c r="B49" t="s">
        <v>64</v>
      </c>
      <c r="D49" t="s">
        <v>70</v>
      </c>
      <c r="E49" t="s">
        <v>66</v>
      </c>
      <c r="F49" t="s">
        <v>65</v>
      </c>
      <c r="G49">
        <v>1</v>
      </c>
      <c r="H49" s="2">
        <v>27.99</v>
      </c>
      <c r="I49" s="15">
        <f>G49*H49</f>
        <v>27.99</v>
      </c>
      <c r="J49" t="s">
        <v>81</v>
      </c>
    </row>
    <row r="50" spans="1:16384" customFormat="1" x14ac:dyDescent="0.25">
      <c r="A50" s="11">
        <v>44</v>
      </c>
      <c r="B50" t="s">
        <v>63</v>
      </c>
      <c r="D50" t="s">
        <v>40</v>
      </c>
      <c r="E50" t="s">
        <v>58</v>
      </c>
      <c r="F50" t="s">
        <v>44</v>
      </c>
      <c r="G50">
        <f>1/5</f>
        <v>0.2</v>
      </c>
      <c r="H50" s="2">
        <v>28.38</v>
      </c>
      <c r="I50" s="15">
        <f>G50*H50</f>
        <v>5.6760000000000002</v>
      </c>
      <c r="J50" t="s">
        <v>67</v>
      </c>
    </row>
    <row r="51" spans="1:16384" customFormat="1" x14ac:dyDescent="0.25">
      <c r="A51" s="11">
        <v>45</v>
      </c>
      <c r="B51" t="s">
        <v>211</v>
      </c>
      <c r="C51" t="s">
        <v>212</v>
      </c>
      <c r="D51" t="s">
        <v>70</v>
      </c>
      <c r="E51" t="s">
        <v>82</v>
      </c>
      <c r="F51" t="s">
        <v>213</v>
      </c>
      <c r="G51">
        <v>6</v>
      </c>
      <c r="H51" s="2">
        <v>49.91</v>
      </c>
      <c r="I51" s="15"/>
      <c r="J51" t="s">
        <v>78</v>
      </c>
    </row>
    <row r="52" spans="1:16384" customFormat="1" x14ac:dyDescent="0.25">
      <c r="A52" s="12"/>
      <c r="B52" s="1" t="s">
        <v>96</v>
      </c>
      <c r="H52" s="2"/>
      <c r="I52" s="7">
        <f>SUM(I19:I51)</f>
        <v>544.68840000000012</v>
      </c>
    </row>
    <row r="54" spans="1:16384" customFormat="1" x14ac:dyDescent="0.25">
      <c r="A54" s="10" t="s">
        <v>95</v>
      </c>
    </row>
    <row r="55" spans="1:16384" customFormat="1" x14ac:dyDescent="0.25">
      <c r="A55" s="11" t="s">
        <v>186</v>
      </c>
      <c r="B55" s="1" t="s">
        <v>0</v>
      </c>
      <c r="C55" s="1" t="s">
        <v>7</v>
      </c>
      <c r="D55" s="1" t="s">
        <v>1</v>
      </c>
      <c r="E55" s="1"/>
      <c r="F55" s="1" t="s">
        <v>14</v>
      </c>
      <c r="G55" s="1" t="s">
        <v>4</v>
      </c>
      <c r="H55" s="1" t="s">
        <v>3</v>
      </c>
      <c r="I55" s="1" t="s">
        <v>38</v>
      </c>
      <c r="J55" s="1" t="s">
        <v>99</v>
      </c>
    </row>
    <row r="56" spans="1:16384" customFormat="1" x14ac:dyDescent="0.25">
      <c r="A56" s="11">
        <v>46</v>
      </c>
      <c r="B56" t="s">
        <v>101</v>
      </c>
      <c r="D56" t="s">
        <v>98</v>
      </c>
      <c r="F56" t="s">
        <v>102</v>
      </c>
      <c r="G56">
        <f>2/20</f>
        <v>0.1</v>
      </c>
      <c r="H56" s="2">
        <v>141.84</v>
      </c>
      <c r="I56" s="15">
        <f t="shared" ref="I56" si="2">G56*H56</f>
        <v>14.184000000000001</v>
      </c>
      <c r="J56" t="s">
        <v>103</v>
      </c>
    </row>
    <row r="57" spans="1:16384" customFormat="1" x14ac:dyDescent="0.25">
      <c r="A57" s="11">
        <v>47</v>
      </c>
      <c r="B57" t="s">
        <v>104</v>
      </c>
      <c r="C57" t="s">
        <v>105</v>
      </c>
      <c r="D57" t="s">
        <v>106</v>
      </c>
      <c r="F57" t="s">
        <v>65</v>
      </c>
      <c r="G57">
        <v>1</v>
      </c>
      <c r="H57" t="s">
        <v>109</v>
      </c>
      <c r="I57" s="16">
        <v>2</v>
      </c>
    </row>
    <row r="58" spans="1:16384" customFormat="1" x14ac:dyDescent="0.25">
      <c r="A58" s="11">
        <v>48</v>
      </c>
      <c r="B58" t="s">
        <v>199</v>
      </c>
      <c r="C58" t="s">
        <v>200</v>
      </c>
      <c r="D58" t="s">
        <v>106</v>
      </c>
      <c r="F58" t="s">
        <v>65</v>
      </c>
      <c r="G58">
        <v>1</v>
      </c>
      <c r="H58" t="s">
        <v>201</v>
      </c>
      <c r="I58" s="16">
        <v>5</v>
      </c>
    </row>
    <row r="59" spans="1:16384" customFormat="1" x14ac:dyDescent="0.25">
      <c r="A59" s="11">
        <v>49</v>
      </c>
      <c r="B59" t="s">
        <v>107</v>
      </c>
      <c r="C59" t="s">
        <v>105</v>
      </c>
      <c r="D59" t="s">
        <v>106</v>
      </c>
      <c r="F59" t="s">
        <v>65</v>
      </c>
      <c r="G59">
        <v>1</v>
      </c>
      <c r="H59" t="s">
        <v>109</v>
      </c>
      <c r="I59" s="16">
        <v>2</v>
      </c>
    </row>
    <row r="60" spans="1:16384" customFormat="1" x14ac:dyDescent="0.25">
      <c r="A60" s="11">
        <v>50</v>
      </c>
      <c r="B60" t="s">
        <v>108</v>
      </c>
      <c r="C60" t="s">
        <v>105</v>
      </c>
      <c r="D60" t="s">
        <v>106</v>
      </c>
      <c r="F60" t="s">
        <v>65</v>
      </c>
      <c r="G60">
        <v>1</v>
      </c>
      <c r="H60" t="s">
        <v>109</v>
      </c>
      <c r="I60" s="16">
        <v>2</v>
      </c>
    </row>
    <row r="61" spans="1:16384" customFormat="1" x14ac:dyDescent="0.25">
      <c r="A61" s="11">
        <v>51</v>
      </c>
      <c r="B61" t="s">
        <v>110</v>
      </c>
      <c r="C61" t="s">
        <v>105</v>
      </c>
      <c r="D61" t="s">
        <v>106</v>
      </c>
      <c r="F61" t="s">
        <v>65</v>
      </c>
      <c r="G61">
        <v>1</v>
      </c>
      <c r="H61" t="s">
        <v>109</v>
      </c>
      <c r="I61" s="16">
        <v>2</v>
      </c>
    </row>
    <row r="62" spans="1:16384" customFormat="1" x14ac:dyDescent="0.25">
      <c r="A62" s="11">
        <v>52</v>
      </c>
      <c r="B62" t="s">
        <v>129</v>
      </c>
      <c r="C62" t="s">
        <v>105</v>
      </c>
      <c r="D62" t="s">
        <v>106</v>
      </c>
      <c r="F62" t="s">
        <v>65</v>
      </c>
      <c r="G62">
        <v>2</v>
      </c>
      <c r="H62" t="s">
        <v>214</v>
      </c>
      <c r="I62" s="16">
        <v>1</v>
      </c>
    </row>
    <row r="63" spans="1:16384" customFormat="1" x14ac:dyDescent="0.25">
      <c r="A63" s="12"/>
      <c r="B63" s="1" t="s">
        <v>96</v>
      </c>
      <c r="H63" s="2"/>
      <c r="I63" s="7">
        <f>SUM(I56:I62)</f>
        <v>28.184000000000001</v>
      </c>
      <c r="J63" s="1"/>
      <c r="P63" s="2"/>
      <c r="Q63" s="6"/>
      <c r="R63" s="1"/>
      <c r="X63" s="2"/>
      <c r="Y63" s="6"/>
      <c r="Z63" s="1"/>
      <c r="AF63" s="2"/>
      <c r="AG63" s="6"/>
      <c r="AH63" s="1"/>
      <c r="AN63" s="2"/>
      <c r="AO63" s="6"/>
      <c r="AP63" s="1"/>
      <c r="AV63" s="2"/>
      <c r="AW63" s="6"/>
      <c r="AX63" s="1"/>
      <c r="BD63" s="2"/>
      <c r="BE63" s="6"/>
      <c r="BF63" s="1"/>
      <c r="BL63" s="2"/>
      <c r="BM63" s="6"/>
      <c r="BN63" s="1"/>
      <c r="BT63" s="2"/>
      <c r="BU63" s="6"/>
      <c r="BV63" s="1"/>
      <c r="CB63" s="2"/>
      <c r="CC63" s="6"/>
      <c r="CD63" s="1"/>
      <c r="CJ63" s="2"/>
      <c r="CK63" s="6"/>
      <c r="CL63" s="1"/>
      <c r="CR63" s="2"/>
      <c r="CS63" s="6"/>
      <c r="CT63" s="1"/>
      <c r="CZ63" s="2"/>
      <c r="DA63" s="6"/>
      <c r="DB63" s="1"/>
      <c r="DH63" s="2"/>
      <c r="DI63" s="6"/>
      <c r="DJ63" s="1"/>
      <c r="DP63" s="2"/>
      <c r="DQ63" s="6"/>
      <c r="DR63" s="1"/>
      <c r="DX63" s="2"/>
      <c r="DY63" s="6"/>
      <c r="DZ63" s="1"/>
      <c r="EF63" s="2"/>
      <c r="EG63" s="6"/>
      <c r="EH63" s="1"/>
      <c r="EN63" s="2"/>
      <c r="EO63" s="6"/>
      <c r="EP63" s="1"/>
      <c r="EV63" s="2"/>
      <c r="EW63" s="6"/>
      <c r="EX63" s="1"/>
      <c r="FD63" s="2"/>
      <c r="FE63" s="6"/>
      <c r="FF63" s="1"/>
      <c r="FL63" s="2"/>
      <c r="FM63" s="6"/>
      <c r="FN63" s="1"/>
      <c r="FT63" s="2"/>
      <c r="FU63" s="6"/>
      <c r="FV63" s="1"/>
      <c r="GB63" s="2"/>
      <c r="GC63" s="6"/>
      <c r="GD63" s="1"/>
      <c r="GJ63" s="2"/>
      <c r="GK63" s="6"/>
      <c r="GL63" s="1"/>
      <c r="GR63" s="2"/>
      <c r="GS63" s="6"/>
      <c r="GT63" s="1"/>
      <c r="GZ63" s="2"/>
      <c r="HA63" s="6"/>
      <c r="HB63" s="1"/>
      <c r="HH63" s="2"/>
      <c r="HI63" s="6"/>
      <c r="HJ63" s="1"/>
      <c r="HP63" s="2"/>
      <c r="HQ63" s="6"/>
      <c r="HR63" s="1"/>
      <c r="HX63" s="2"/>
      <c r="HY63" s="6"/>
      <c r="HZ63" s="1"/>
      <c r="IF63" s="2"/>
      <c r="IG63" s="6"/>
      <c r="IH63" s="1"/>
      <c r="IN63" s="2"/>
      <c r="IO63" s="6"/>
      <c r="IP63" s="1"/>
      <c r="IV63" s="2"/>
      <c r="IW63" s="6"/>
      <c r="IX63" s="1"/>
      <c r="JD63" s="2"/>
      <c r="JE63" s="6"/>
      <c r="JF63" s="1"/>
      <c r="JL63" s="2"/>
      <c r="JM63" s="6"/>
      <c r="JN63" s="1"/>
      <c r="JT63" s="2"/>
      <c r="JU63" s="6"/>
      <c r="JV63" s="1"/>
      <c r="KB63" s="2"/>
      <c r="KC63" s="6"/>
      <c r="KD63" s="1"/>
      <c r="KJ63" s="2"/>
      <c r="KK63" s="6"/>
      <c r="KL63" s="1"/>
      <c r="KR63" s="2"/>
      <c r="KS63" s="6"/>
      <c r="KT63" s="1"/>
      <c r="KZ63" s="2"/>
      <c r="LA63" s="6"/>
      <c r="LB63" s="1"/>
      <c r="LH63" s="2"/>
      <c r="LI63" s="6"/>
      <c r="LJ63" s="1"/>
      <c r="LP63" s="2"/>
      <c r="LQ63" s="6"/>
      <c r="LR63" s="1"/>
      <c r="LX63" s="2"/>
      <c r="LY63" s="6"/>
      <c r="LZ63" s="1"/>
      <c r="MF63" s="2"/>
      <c r="MG63" s="6"/>
      <c r="MH63" s="1"/>
      <c r="MN63" s="2"/>
      <c r="MO63" s="6"/>
      <c r="MP63" s="1"/>
      <c r="MV63" s="2"/>
      <c r="MW63" s="6"/>
      <c r="MX63" s="1"/>
      <c r="ND63" s="2"/>
      <c r="NE63" s="6"/>
      <c r="NF63" s="1"/>
      <c r="NL63" s="2"/>
      <c r="NM63" s="6"/>
      <c r="NN63" s="1"/>
      <c r="NT63" s="2"/>
      <c r="NU63" s="6"/>
      <c r="NV63" s="1"/>
      <c r="OB63" s="2"/>
      <c r="OC63" s="6"/>
      <c r="OD63" s="1"/>
      <c r="OJ63" s="2"/>
      <c r="OK63" s="6"/>
      <c r="OL63" s="1"/>
      <c r="OR63" s="2"/>
      <c r="OS63" s="6"/>
      <c r="OT63" s="1"/>
      <c r="OZ63" s="2"/>
      <c r="PA63" s="6"/>
      <c r="PB63" s="1"/>
      <c r="PH63" s="2"/>
      <c r="PI63" s="6"/>
      <c r="PJ63" s="1"/>
      <c r="PP63" s="2"/>
      <c r="PQ63" s="6"/>
      <c r="PR63" s="1"/>
      <c r="PX63" s="2"/>
      <c r="PY63" s="6"/>
      <c r="PZ63" s="1"/>
      <c r="QF63" s="2"/>
      <c r="QG63" s="6"/>
      <c r="QH63" s="1"/>
      <c r="QN63" s="2"/>
      <c r="QO63" s="6"/>
      <c r="QP63" s="1"/>
      <c r="QV63" s="2"/>
      <c r="QW63" s="6"/>
      <c r="QX63" s="1"/>
      <c r="RD63" s="2"/>
      <c r="RE63" s="6"/>
      <c r="RF63" s="1"/>
      <c r="RL63" s="2"/>
      <c r="RM63" s="6"/>
      <c r="RN63" s="1"/>
      <c r="RT63" s="2"/>
      <c r="RU63" s="6"/>
      <c r="RV63" s="1"/>
      <c r="SB63" s="2"/>
      <c r="SC63" s="6"/>
      <c r="SD63" s="1"/>
      <c r="SJ63" s="2"/>
      <c r="SK63" s="6"/>
      <c r="SL63" s="1"/>
      <c r="SR63" s="2"/>
      <c r="SS63" s="6"/>
      <c r="ST63" s="1"/>
      <c r="SZ63" s="2"/>
      <c r="TA63" s="6"/>
      <c r="TB63" s="1"/>
      <c r="TH63" s="2"/>
      <c r="TI63" s="6"/>
      <c r="TJ63" s="1"/>
      <c r="TP63" s="2"/>
      <c r="TQ63" s="6"/>
      <c r="TR63" s="1"/>
      <c r="TX63" s="2"/>
      <c r="TY63" s="6"/>
      <c r="TZ63" s="1"/>
      <c r="UF63" s="2"/>
      <c r="UG63" s="6"/>
      <c r="UH63" s="1"/>
      <c r="UN63" s="2"/>
      <c r="UO63" s="6"/>
      <c r="UP63" s="1"/>
      <c r="UV63" s="2"/>
      <c r="UW63" s="6"/>
      <c r="UX63" s="1"/>
      <c r="VD63" s="2"/>
      <c r="VE63" s="6"/>
      <c r="VF63" s="1"/>
      <c r="VL63" s="2"/>
      <c r="VM63" s="6"/>
      <c r="VN63" s="1"/>
      <c r="VT63" s="2"/>
      <c r="VU63" s="6"/>
      <c r="VV63" s="1"/>
      <c r="WB63" s="2"/>
      <c r="WC63" s="6"/>
      <c r="WD63" s="1"/>
      <c r="WJ63" s="2"/>
      <c r="WK63" s="6"/>
      <c r="WL63" s="1"/>
      <c r="WR63" s="2"/>
      <c r="WS63" s="6"/>
      <c r="WT63" s="1"/>
      <c r="WZ63" s="2"/>
      <c r="XA63" s="6"/>
      <c r="XB63" s="1"/>
      <c r="XH63" s="2"/>
      <c r="XI63" s="6"/>
      <c r="XJ63" s="1"/>
      <c r="XP63" s="2"/>
      <c r="XQ63" s="6"/>
      <c r="XR63" s="1"/>
      <c r="XX63" s="2"/>
      <c r="XY63" s="6"/>
      <c r="XZ63" s="1"/>
      <c r="YF63" s="2"/>
      <c r="YG63" s="6"/>
      <c r="YH63" s="1"/>
      <c r="YN63" s="2"/>
      <c r="YO63" s="6"/>
      <c r="YP63" s="1"/>
      <c r="YV63" s="2"/>
      <c r="YW63" s="6"/>
      <c r="YX63" s="1"/>
      <c r="ZD63" s="2"/>
      <c r="ZE63" s="6"/>
      <c r="ZF63" s="1"/>
      <c r="ZL63" s="2"/>
      <c r="ZM63" s="6"/>
      <c r="ZN63" s="1"/>
      <c r="ZT63" s="2"/>
      <c r="ZU63" s="6"/>
      <c r="ZV63" s="1"/>
      <c r="AAB63" s="2"/>
      <c r="AAC63" s="6"/>
      <c r="AAD63" s="1"/>
      <c r="AAJ63" s="2"/>
      <c r="AAK63" s="6"/>
      <c r="AAL63" s="1"/>
      <c r="AAR63" s="2"/>
      <c r="AAS63" s="6"/>
      <c r="AAT63" s="1"/>
      <c r="AAZ63" s="2"/>
      <c r="ABA63" s="6"/>
      <c r="ABB63" s="1"/>
      <c r="ABH63" s="2"/>
      <c r="ABI63" s="6"/>
      <c r="ABJ63" s="1"/>
      <c r="ABP63" s="2"/>
      <c r="ABQ63" s="6"/>
      <c r="ABR63" s="1"/>
      <c r="ABX63" s="2"/>
      <c r="ABY63" s="6"/>
      <c r="ABZ63" s="1"/>
      <c r="ACF63" s="2"/>
      <c r="ACG63" s="6"/>
      <c r="ACH63" s="1"/>
      <c r="ACN63" s="2"/>
      <c r="ACO63" s="6"/>
      <c r="ACP63" s="1"/>
      <c r="ACV63" s="2"/>
      <c r="ACW63" s="6"/>
      <c r="ACX63" s="1"/>
      <c r="ADD63" s="2"/>
      <c r="ADE63" s="6"/>
      <c r="ADF63" s="1"/>
      <c r="ADL63" s="2"/>
      <c r="ADM63" s="6"/>
      <c r="ADN63" s="1"/>
      <c r="ADT63" s="2"/>
      <c r="ADU63" s="6"/>
      <c r="ADV63" s="1"/>
      <c r="AEB63" s="2"/>
      <c r="AEC63" s="6"/>
      <c r="AED63" s="1"/>
      <c r="AEJ63" s="2"/>
      <c r="AEK63" s="6"/>
      <c r="AEL63" s="1"/>
      <c r="AER63" s="2"/>
      <c r="AES63" s="6"/>
      <c r="AET63" s="1"/>
      <c r="AEZ63" s="2"/>
      <c r="AFA63" s="6"/>
      <c r="AFB63" s="1"/>
      <c r="AFH63" s="2"/>
      <c r="AFI63" s="6"/>
      <c r="AFJ63" s="1"/>
      <c r="AFP63" s="2"/>
      <c r="AFQ63" s="6"/>
      <c r="AFR63" s="1"/>
      <c r="AFX63" s="2"/>
      <c r="AFY63" s="6"/>
      <c r="AFZ63" s="1"/>
      <c r="AGF63" s="2"/>
      <c r="AGG63" s="6"/>
      <c r="AGH63" s="1"/>
      <c r="AGN63" s="2"/>
      <c r="AGO63" s="6"/>
      <c r="AGP63" s="1"/>
      <c r="AGV63" s="2"/>
      <c r="AGW63" s="6"/>
      <c r="AGX63" s="1"/>
      <c r="AHD63" s="2"/>
      <c r="AHE63" s="6"/>
      <c r="AHF63" s="1"/>
      <c r="AHL63" s="2"/>
      <c r="AHM63" s="6"/>
      <c r="AHN63" s="1"/>
      <c r="AHT63" s="2"/>
      <c r="AHU63" s="6"/>
      <c r="AHV63" s="1"/>
      <c r="AIB63" s="2"/>
      <c r="AIC63" s="6"/>
      <c r="AID63" s="1"/>
      <c r="AIJ63" s="2"/>
      <c r="AIK63" s="6"/>
      <c r="AIL63" s="1"/>
      <c r="AIR63" s="2"/>
      <c r="AIS63" s="6"/>
      <c r="AIT63" s="1"/>
      <c r="AIZ63" s="2"/>
      <c r="AJA63" s="6"/>
      <c r="AJB63" s="1"/>
      <c r="AJH63" s="2"/>
      <c r="AJI63" s="6"/>
      <c r="AJJ63" s="1"/>
      <c r="AJP63" s="2"/>
      <c r="AJQ63" s="6"/>
      <c r="AJR63" s="1"/>
      <c r="AJX63" s="2"/>
      <c r="AJY63" s="6"/>
      <c r="AJZ63" s="1"/>
      <c r="AKF63" s="2"/>
      <c r="AKG63" s="6"/>
      <c r="AKH63" s="1"/>
      <c r="AKN63" s="2"/>
      <c r="AKO63" s="6"/>
      <c r="AKP63" s="1"/>
      <c r="AKV63" s="2"/>
      <c r="AKW63" s="6"/>
      <c r="AKX63" s="1"/>
      <c r="ALD63" s="2"/>
      <c r="ALE63" s="6"/>
      <c r="ALF63" s="1"/>
      <c r="ALL63" s="2"/>
      <c r="ALM63" s="6"/>
      <c r="ALN63" s="1"/>
      <c r="ALT63" s="2"/>
      <c r="ALU63" s="6"/>
      <c r="ALV63" s="1"/>
      <c r="AMB63" s="2"/>
      <c r="AMC63" s="6"/>
      <c r="AMD63" s="1"/>
      <c r="AMJ63" s="2"/>
      <c r="AMK63" s="6"/>
      <c r="AML63" s="1"/>
      <c r="AMR63" s="2"/>
      <c r="AMS63" s="6"/>
      <c r="AMT63" s="1"/>
      <c r="AMZ63" s="2"/>
      <c r="ANA63" s="6"/>
      <c r="ANB63" s="1"/>
      <c r="ANH63" s="2"/>
      <c r="ANI63" s="6"/>
      <c r="ANJ63" s="1"/>
      <c r="ANP63" s="2"/>
      <c r="ANQ63" s="6"/>
      <c r="ANR63" s="1"/>
      <c r="ANX63" s="2"/>
      <c r="ANY63" s="6"/>
      <c r="ANZ63" s="1"/>
      <c r="AOF63" s="2"/>
      <c r="AOG63" s="6"/>
      <c r="AOH63" s="1"/>
      <c r="AON63" s="2"/>
      <c r="AOO63" s="6"/>
      <c r="AOP63" s="1"/>
      <c r="AOV63" s="2"/>
      <c r="AOW63" s="6"/>
      <c r="AOX63" s="1"/>
      <c r="APD63" s="2"/>
      <c r="APE63" s="6"/>
      <c r="APF63" s="1"/>
      <c r="APL63" s="2"/>
      <c r="APM63" s="6"/>
      <c r="APN63" s="1"/>
      <c r="APT63" s="2"/>
      <c r="APU63" s="6"/>
      <c r="APV63" s="1"/>
      <c r="AQB63" s="2"/>
      <c r="AQC63" s="6"/>
      <c r="AQD63" s="1"/>
      <c r="AQJ63" s="2"/>
      <c r="AQK63" s="6"/>
      <c r="AQL63" s="1"/>
      <c r="AQR63" s="2"/>
      <c r="AQS63" s="6"/>
      <c r="AQT63" s="1"/>
      <c r="AQZ63" s="2"/>
      <c r="ARA63" s="6"/>
      <c r="ARB63" s="1"/>
      <c r="ARH63" s="2"/>
      <c r="ARI63" s="6"/>
      <c r="ARJ63" s="1"/>
      <c r="ARP63" s="2"/>
      <c r="ARQ63" s="6"/>
      <c r="ARR63" s="1"/>
      <c r="ARX63" s="2"/>
      <c r="ARY63" s="6"/>
      <c r="ARZ63" s="1"/>
      <c r="ASF63" s="2"/>
      <c r="ASG63" s="6"/>
      <c r="ASH63" s="1"/>
      <c r="ASN63" s="2"/>
      <c r="ASO63" s="6"/>
      <c r="ASP63" s="1"/>
      <c r="ASV63" s="2"/>
      <c r="ASW63" s="6"/>
      <c r="ASX63" s="1"/>
      <c r="ATD63" s="2"/>
      <c r="ATE63" s="6"/>
      <c r="ATF63" s="1"/>
      <c r="ATL63" s="2"/>
      <c r="ATM63" s="6"/>
      <c r="ATN63" s="1"/>
      <c r="ATT63" s="2"/>
      <c r="ATU63" s="6"/>
      <c r="ATV63" s="1"/>
      <c r="AUB63" s="2"/>
      <c r="AUC63" s="6"/>
      <c r="AUD63" s="1"/>
      <c r="AUJ63" s="2"/>
      <c r="AUK63" s="6"/>
      <c r="AUL63" s="1"/>
      <c r="AUR63" s="2"/>
      <c r="AUS63" s="6"/>
      <c r="AUT63" s="1"/>
      <c r="AUZ63" s="2"/>
      <c r="AVA63" s="6"/>
      <c r="AVB63" s="1"/>
      <c r="AVH63" s="2"/>
      <c r="AVI63" s="6"/>
      <c r="AVJ63" s="1"/>
      <c r="AVP63" s="2"/>
      <c r="AVQ63" s="6"/>
      <c r="AVR63" s="1"/>
      <c r="AVX63" s="2"/>
      <c r="AVY63" s="6"/>
      <c r="AVZ63" s="1"/>
      <c r="AWF63" s="2"/>
      <c r="AWG63" s="6"/>
      <c r="AWH63" s="1"/>
      <c r="AWN63" s="2"/>
      <c r="AWO63" s="6"/>
      <c r="AWP63" s="1"/>
      <c r="AWV63" s="2"/>
      <c r="AWW63" s="6"/>
      <c r="AWX63" s="1"/>
      <c r="AXD63" s="2"/>
      <c r="AXE63" s="6"/>
      <c r="AXF63" s="1"/>
      <c r="AXL63" s="2"/>
      <c r="AXM63" s="6"/>
      <c r="AXN63" s="1"/>
      <c r="AXT63" s="2"/>
      <c r="AXU63" s="6"/>
      <c r="AXV63" s="1"/>
      <c r="AYB63" s="2"/>
      <c r="AYC63" s="6"/>
      <c r="AYD63" s="1"/>
      <c r="AYJ63" s="2"/>
      <c r="AYK63" s="6"/>
      <c r="AYL63" s="1"/>
      <c r="AYR63" s="2"/>
      <c r="AYS63" s="6"/>
      <c r="AYT63" s="1"/>
      <c r="AYZ63" s="2"/>
      <c r="AZA63" s="6"/>
      <c r="AZB63" s="1"/>
      <c r="AZH63" s="2"/>
      <c r="AZI63" s="6"/>
      <c r="AZJ63" s="1"/>
      <c r="AZP63" s="2"/>
      <c r="AZQ63" s="6"/>
      <c r="AZR63" s="1"/>
      <c r="AZX63" s="2"/>
      <c r="AZY63" s="6"/>
      <c r="AZZ63" s="1"/>
      <c r="BAF63" s="2"/>
      <c r="BAG63" s="6"/>
      <c r="BAH63" s="1"/>
      <c r="BAN63" s="2"/>
      <c r="BAO63" s="6"/>
      <c r="BAP63" s="1"/>
      <c r="BAV63" s="2"/>
      <c r="BAW63" s="6"/>
      <c r="BAX63" s="1"/>
      <c r="BBD63" s="2"/>
      <c r="BBE63" s="6"/>
      <c r="BBF63" s="1"/>
      <c r="BBL63" s="2"/>
      <c r="BBM63" s="6"/>
      <c r="BBN63" s="1"/>
      <c r="BBT63" s="2"/>
      <c r="BBU63" s="6"/>
      <c r="BBV63" s="1"/>
      <c r="BCB63" s="2"/>
      <c r="BCC63" s="6"/>
      <c r="BCD63" s="1"/>
      <c r="BCJ63" s="2"/>
      <c r="BCK63" s="6"/>
      <c r="BCL63" s="1"/>
      <c r="BCR63" s="2"/>
      <c r="BCS63" s="6"/>
      <c r="BCT63" s="1"/>
      <c r="BCZ63" s="2"/>
      <c r="BDA63" s="6"/>
      <c r="BDB63" s="1"/>
      <c r="BDH63" s="2"/>
      <c r="BDI63" s="6"/>
      <c r="BDJ63" s="1"/>
      <c r="BDP63" s="2"/>
      <c r="BDQ63" s="6"/>
      <c r="BDR63" s="1"/>
      <c r="BDX63" s="2"/>
      <c r="BDY63" s="6"/>
      <c r="BDZ63" s="1"/>
      <c r="BEF63" s="2"/>
      <c r="BEG63" s="6"/>
      <c r="BEH63" s="1"/>
      <c r="BEN63" s="2"/>
      <c r="BEO63" s="6"/>
      <c r="BEP63" s="1"/>
      <c r="BEV63" s="2"/>
      <c r="BEW63" s="6"/>
      <c r="BEX63" s="1"/>
      <c r="BFD63" s="2"/>
      <c r="BFE63" s="6"/>
      <c r="BFF63" s="1"/>
      <c r="BFL63" s="2"/>
      <c r="BFM63" s="6"/>
      <c r="BFN63" s="1"/>
      <c r="BFT63" s="2"/>
      <c r="BFU63" s="6"/>
      <c r="BFV63" s="1"/>
      <c r="BGB63" s="2"/>
      <c r="BGC63" s="6"/>
      <c r="BGD63" s="1"/>
      <c r="BGJ63" s="2"/>
      <c r="BGK63" s="6"/>
      <c r="BGL63" s="1"/>
      <c r="BGR63" s="2"/>
      <c r="BGS63" s="6"/>
      <c r="BGT63" s="1"/>
      <c r="BGZ63" s="2"/>
      <c r="BHA63" s="6"/>
      <c r="BHB63" s="1"/>
      <c r="BHH63" s="2"/>
      <c r="BHI63" s="6"/>
      <c r="BHJ63" s="1"/>
      <c r="BHP63" s="2"/>
      <c r="BHQ63" s="6"/>
      <c r="BHR63" s="1"/>
      <c r="BHX63" s="2"/>
      <c r="BHY63" s="6"/>
      <c r="BHZ63" s="1"/>
      <c r="BIF63" s="2"/>
      <c r="BIG63" s="6"/>
      <c r="BIH63" s="1"/>
      <c r="BIN63" s="2"/>
      <c r="BIO63" s="6"/>
      <c r="BIP63" s="1"/>
      <c r="BIV63" s="2"/>
      <c r="BIW63" s="6"/>
      <c r="BIX63" s="1"/>
      <c r="BJD63" s="2"/>
      <c r="BJE63" s="6"/>
      <c r="BJF63" s="1"/>
      <c r="BJL63" s="2"/>
      <c r="BJM63" s="6"/>
      <c r="BJN63" s="1"/>
      <c r="BJT63" s="2"/>
      <c r="BJU63" s="6"/>
      <c r="BJV63" s="1"/>
      <c r="BKB63" s="2"/>
      <c r="BKC63" s="6"/>
      <c r="BKD63" s="1"/>
      <c r="BKJ63" s="2"/>
      <c r="BKK63" s="6"/>
      <c r="BKL63" s="1"/>
      <c r="BKR63" s="2"/>
      <c r="BKS63" s="6"/>
      <c r="BKT63" s="1"/>
      <c r="BKZ63" s="2"/>
      <c r="BLA63" s="6"/>
      <c r="BLB63" s="1"/>
      <c r="BLH63" s="2"/>
      <c r="BLI63" s="6"/>
      <c r="BLJ63" s="1"/>
      <c r="BLP63" s="2"/>
      <c r="BLQ63" s="6"/>
      <c r="BLR63" s="1"/>
      <c r="BLX63" s="2"/>
      <c r="BLY63" s="6"/>
      <c r="BLZ63" s="1"/>
      <c r="BMF63" s="2"/>
      <c r="BMG63" s="6"/>
      <c r="BMH63" s="1"/>
      <c r="BMN63" s="2"/>
      <c r="BMO63" s="6"/>
      <c r="BMP63" s="1"/>
      <c r="BMV63" s="2"/>
      <c r="BMW63" s="6"/>
      <c r="BMX63" s="1"/>
      <c r="BND63" s="2"/>
      <c r="BNE63" s="6"/>
      <c r="BNF63" s="1"/>
      <c r="BNL63" s="2"/>
      <c r="BNM63" s="6"/>
      <c r="BNN63" s="1"/>
      <c r="BNT63" s="2"/>
      <c r="BNU63" s="6"/>
      <c r="BNV63" s="1"/>
      <c r="BOB63" s="2"/>
      <c r="BOC63" s="6"/>
      <c r="BOD63" s="1"/>
      <c r="BOJ63" s="2"/>
      <c r="BOK63" s="6"/>
      <c r="BOL63" s="1"/>
      <c r="BOR63" s="2"/>
      <c r="BOS63" s="6"/>
      <c r="BOT63" s="1"/>
      <c r="BOZ63" s="2"/>
      <c r="BPA63" s="6"/>
      <c r="BPB63" s="1"/>
      <c r="BPH63" s="2"/>
      <c r="BPI63" s="6"/>
      <c r="BPJ63" s="1"/>
      <c r="BPP63" s="2"/>
      <c r="BPQ63" s="6"/>
      <c r="BPR63" s="1"/>
      <c r="BPX63" s="2"/>
      <c r="BPY63" s="6"/>
      <c r="BPZ63" s="1"/>
      <c r="BQF63" s="2"/>
      <c r="BQG63" s="6"/>
      <c r="BQH63" s="1"/>
      <c r="BQN63" s="2"/>
      <c r="BQO63" s="6"/>
      <c r="BQP63" s="1"/>
      <c r="BQV63" s="2"/>
      <c r="BQW63" s="6"/>
      <c r="BQX63" s="1"/>
      <c r="BRD63" s="2"/>
      <c r="BRE63" s="6"/>
      <c r="BRF63" s="1"/>
      <c r="BRL63" s="2"/>
      <c r="BRM63" s="6"/>
      <c r="BRN63" s="1"/>
      <c r="BRT63" s="2"/>
      <c r="BRU63" s="6"/>
      <c r="BRV63" s="1"/>
      <c r="BSB63" s="2"/>
      <c r="BSC63" s="6"/>
      <c r="BSD63" s="1"/>
      <c r="BSJ63" s="2"/>
      <c r="BSK63" s="6"/>
      <c r="BSL63" s="1"/>
      <c r="BSR63" s="2"/>
      <c r="BSS63" s="6"/>
      <c r="BST63" s="1"/>
      <c r="BSZ63" s="2"/>
      <c r="BTA63" s="6"/>
      <c r="BTB63" s="1"/>
      <c r="BTH63" s="2"/>
      <c r="BTI63" s="6"/>
      <c r="BTJ63" s="1"/>
      <c r="BTP63" s="2"/>
      <c r="BTQ63" s="6"/>
      <c r="BTR63" s="1"/>
      <c r="BTX63" s="2"/>
      <c r="BTY63" s="6"/>
      <c r="BTZ63" s="1"/>
      <c r="BUF63" s="2"/>
      <c r="BUG63" s="6"/>
      <c r="BUH63" s="1"/>
      <c r="BUN63" s="2"/>
      <c r="BUO63" s="6"/>
      <c r="BUP63" s="1"/>
      <c r="BUV63" s="2"/>
      <c r="BUW63" s="6"/>
      <c r="BUX63" s="1"/>
      <c r="BVD63" s="2"/>
      <c r="BVE63" s="6"/>
      <c r="BVF63" s="1"/>
      <c r="BVL63" s="2"/>
      <c r="BVM63" s="6"/>
      <c r="BVN63" s="1"/>
      <c r="BVT63" s="2"/>
      <c r="BVU63" s="6"/>
      <c r="BVV63" s="1"/>
      <c r="BWB63" s="2"/>
      <c r="BWC63" s="6"/>
      <c r="BWD63" s="1"/>
      <c r="BWJ63" s="2"/>
      <c r="BWK63" s="6"/>
      <c r="BWL63" s="1"/>
      <c r="BWR63" s="2"/>
      <c r="BWS63" s="6"/>
      <c r="BWT63" s="1"/>
      <c r="BWZ63" s="2"/>
      <c r="BXA63" s="6"/>
      <c r="BXB63" s="1"/>
      <c r="BXH63" s="2"/>
      <c r="BXI63" s="6"/>
      <c r="BXJ63" s="1"/>
      <c r="BXP63" s="2"/>
      <c r="BXQ63" s="6"/>
      <c r="BXR63" s="1"/>
      <c r="BXX63" s="2"/>
      <c r="BXY63" s="6"/>
      <c r="BXZ63" s="1"/>
      <c r="BYF63" s="2"/>
      <c r="BYG63" s="6"/>
      <c r="BYH63" s="1"/>
      <c r="BYN63" s="2"/>
      <c r="BYO63" s="6"/>
      <c r="BYP63" s="1"/>
      <c r="BYV63" s="2"/>
      <c r="BYW63" s="6"/>
      <c r="BYX63" s="1"/>
      <c r="BZD63" s="2"/>
      <c r="BZE63" s="6"/>
      <c r="BZF63" s="1"/>
      <c r="BZL63" s="2"/>
      <c r="BZM63" s="6"/>
      <c r="BZN63" s="1"/>
      <c r="BZT63" s="2"/>
      <c r="BZU63" s="6"/>
      <c r="BZV63" s="1"/>
      <c r="CAB63" s="2"/>
      <c r="CAC63" s="6"/>
      <c r="CAD63" s="1"/>
      <c r="CAJ63" s="2"/>
      <c r="CAK63" s="6"/>
      <c r="CAL63" s="1"/>
      <c r="CAR63" s="2"/>
      <c r="CAS63" s="6"/>
      <c r="CAT63" s="1"/>
      <c r="CAZ63" s="2"/>
      <c r="CBA63" s="6"/>
      <c r="CBB63" s="1"/>
      <c r="CBH63" s="2"/>
      <c r="CBI63" s="6"/>
      <c r="CBJ63" s="1"/>
      <c r="CBP63" s="2"/>
      <c r="CBQ63" s="6"/>
      <c r="CBR63" s="1"/>
      <c r="CBX63" s="2"/>
      <c r="CBY63" s="6"/>
      <c r="CBZ63" s="1"/>
      <c r="CCF63" s="2"/>
      <c r="CCG63" s="6"/>
      <c r="CCH63" s="1"/>
      <c r="CCN63" s="2"/>
      <c r="CCO63" s="6"/>
      <c r="CCP63" s="1"/>
      <c r="CCV63" s="2"/>
      <c r="CCW63" s="6"/>
      <c r="CCX63" s="1"/>
      <c r="CDD63" s="2"/>
      <c r="CDE63" s="6"/>
      <c r="CDF63" s="1"/>
      <c r="CDL63" s="2"/>
      <c r="CDM63" s="6"/>
      <c r="CDN63" s="1"/>
      <c r="CDT63" s="2"/>
      <c r="CDU63" s="6"/>
      <c r="CDV63" s="1"/>
      <c r="CEB63" s="2"/>
      <c r="CEC63" s="6"/>
      <c r="CED63" s="1"/>
      <c r="CEJ63" s="2"/>
      <c r="CEK63" s="6"/>
      <c r="CEL63" s="1"/>
      <c r="CER63" s="2"/>
      <c r="CES63" s="6"/>
      <c r="CET63" s="1"/>
      <c r="CEZ63" s="2"/>
      <c r="CFA63" s="6"/>
      <c r="CFB63" s="1"/>
      <c r="CFH63" s="2"/>
      <c r="CFI63" s="6"/>
      <c r="CFJ63" s="1"/>
      <c r="CFP63" s="2"/>
      <c r="CFQ63" s="6"/>
      <c r="CFR63" s="1"/>
      <c r="CFX63" s="2"/>
      <c r="CFY63" s="6"/>
      <c r="CFZ63" s="1"/>
      <c r="CGF63" s="2"/>
      <c r="CGG63" s="6"/>
      <c r="CGH63" s="1"/>
      <c r="CGN63" s="2"/>
      <c r="CGO63" s="6"/>
      <c r="CGP63" s="1"/>
      <c r="CGV63" s="2"/>
      <c r="CGW63" s="6"/>
      <c r="CGX63" s="1"/>
      <c r="CHD63" s="2"/>
      <c r="CHE63" s="6"/>
      <c r="CHF63" s="1"/>
      <c r="CHL63" s="2"/>
      <c r="CHM63" s="6"/>
      <c r="CHN63" s="1"/>
      <c r="CHT63" s="2"/>
      <c r="CHU63" s="6"/>
      <c r="CHV63" s="1"/>
      <c r="CIB63" s="2"/>
      <c r="CIC63" s="6"/>
      <c r="CID63" s="1"/>
      <c r="CIJ63" s="2"/>
      <c r="CIK63" s="6"/>
      <c r="CIL63" s="1"/>
      <c r="CIR63" s="2"/>
      <c r="CIS63" s="6"/>
      <c r="CIT63" s="1"/>
      <c r="CIZ63" s="2"/>
      <c r="CJA63" s="6"/>
      <c r="CJB63" s="1"/>
      <c r="CJH63" s="2"/>
      <c r="CJI63" s="6"/>
      <c r="CJJ63" s="1"/>
      <c r="CJP63" s="2"/>
      <c r="CJQ63" s="6"/>
      <c r="CJR63" s="1"/>
      <c r="CJX63" s="2"/>
      <c r="CJY63" s="6"/>
      <c r="CJZ63" s="1"/>
      <c r="CKF63" s="2"/>
      <c r="CKG63" s="6"/>
      <c r="CKH63" s="1"/>
      <c r="CKN63" s="2"/>
      <c r="CKO63" s="6"/>
      <c r="CKP63" s="1"/>
      <c r="CKV63" s="2"/>
      <c r="CKW63" s="6"/>
      <c r="CKX63" s="1"/>
      <c r="CLD63" s="2"/>
      <c r="CLE63" s="6"/>
      <c r="CLF63" s="1"/>
      <c r="CLL63" s="2"/>
      <c r="CLM63" s="6"/>
      <c r="CLN63" s="1"/>
      <c r="CLT63" s="2"/>
      <c r="CLU63" s="6"/>
      <c r="CLV63" s="1"/>
      <c r="CMB63" s="2"/>
      <c r="CMC63" s="6"/>
      <c r="CMD63" s="1"/>
      <c r="CMJ63" s="2"/>
      <c r="CMK63" s="6"/>
      <c r="CML63" s="1"/>
      <c r="CMR63" s="2"/>
      <c r="CMS63" s="6"/>
      <c r="CMT63" s="1"/>
      <c r="CMZ63" s="2"/>
      <c r="CNA63" s="6"/>
      <c r="CNB63" s="1"/>
      <c r="CNH63" s="2"/>
      <c r="CNI63" s="6"/>
      <c r="CNJ63" s="1"/>
      <c r="CNP63" s="2"/>
      <c r="CNQ63" s="6"/>
      <c r="CNR63" s="1"/>
      <c r="CNX63" s="2"/>
      <c r="CNY63" s="6"/>
      <c r="CNZ63" s="1"/>
      <c r="COF63" s="2"/>
      <c r="COG63" s="6"/>
      <c r="COH63" s="1"/>
      <c r="CON63" s="2"/>
      <c r="COO63" s="6"/>
      <c r="COP63" s="1"/>
      <c r="COV63" s="2"/>
      <c r="COW63" s="6"/>
      <c r="COX63" s="1"/>
      <c r="CPD63" s="2"/>
      <c r="CPE63" s="6"/>
      <c r="CPF63" s="1"/>
      <c r="CPL63" s="2"/>
      <c r="CPM63" s="6"/>
      <c r="CPN63" s="1"/>
      <c r="CPT63" s="2"/>
      <c r="CPU63" s="6"/>
      <c r="CPV63" s="1"/>
      <c r="CQB63" s="2"/>
      <c r="CQC63" s="6"/>
      <c r="CQD63" s="1"/>
      <c r="CQJ63" s="2"/>
      <c r="CQK63" s="6"/>
      <c r="CQL63" s="1"/>
      <c r="CQR63" s="2"/>
      <c r="CQS63" s="6"/>
      <c r="CQT63" s="1"/>
      <c r="CQZ63" s="2"/>
      <c r="CRA63" s="6"/>
      <c r="CRB63" s="1"/>
      <c r="CRH63" s="2"/>
      <c r="CRI63" s="6"/>
      <c r="CRJ63" s="1"/>
      <c r="CRP63" s="2"/>
      <c r="CRQ63" s="6"/>
      <c r="CRR63" s="1"/>
      <c r="CRX63" s="2"/>
      <c r="CRY63" s="6"/>
      <c r="CRZ63" s="1"/>
      <c r="CSF63" s="2"/>
      <c r="CSG63" s="6"/>
      <c r="CSH63" s="1"/>
      <c r="CSN63" s="2"/>
      <c r="CSO63" s="6"/>
      <c r="CSP63" s="1"/>
      <c r="CSV63" s="2"/>
      <c r="CSW63" s="6"/>
      <c r="CSX63" s="1"/>
      <c r="CTD63" s="2"/>
      <c r="CTE63" s="6"/>
      <c r="CTF63" s="1"/>
      <c r="CTL63" s="2"/>
      <c r="CTM63" s="6"/>
      <c r="CTN63" s="1"/>
      <c r="CTT63" s="2"/>
      <c r="CTU63" s="6"/>
      <c r="CTV63" s="1"/>
      <c r="CUB63" s="2"/>
      <c r="CUC63" s="6"/>
      <c r="CUD63" s="1"/>
      <c r="CUJ63" s="2"/>
      <c r="CUK63" s="6"/>
      <c r="CUL63" s="1"/>
      <c r="CUR63" s="2"/>
      <c r="CUS63" s="6"/>
      <c r="CUT63" s="1"/>
      <c r="CUZ63" s="2"/>
      <c r="CVA63" s="6"/>
      <c r="CVB63" s="1"/>
      <c r="CVH63" s="2"/>
      <c r="CVI63" s="6"/>
      <c r="CVJ63" s="1"/>
      <c r="CVP63" s="2"/>
      <c r="CVQ63" s="6"/>
      <c r="CVR63" s="1"/>
      <c r="CVX63" s="2"/>
      <c r="CVY63" s="6"/>
      <c r="CVZ63" s="1"/>
      <c r="CWF63" s="2"/>
      <c r="CWG63" s="6"/>
      <c r="CWH63" s="1"/>
      <c r="CWN63" s="2"/>
      <c r="CWO63" s="6"/>
      <c r="CWP63" s="1"/>
      <c r="CWV63" s="2"/>
      <c r="CWW63" s="6"/>
      <c r="CWX63" s="1"/>
      <c r="CXD63" s="2"/>
      <c r="CXE63" s="6"/>
      <c r="CXF63" s="1"/>
      <c r="CXL63" s="2"/>
      <c r="CXM63" s="6"/>
      <c r="CXN63" s="1"/>
      <c r="CXT63" s="2"/>
      <c r="CXU63" s="6"/>
      <c r="CXV63" s="1"/>
      <c r="CYB63" s="2"/>
      <c r="CYC63" s="6"/>
      <c r="CYD63" s="1"/>
      <c r="CYJ63" s="2"/>
      <c r="CYK63" s="6"/>
      <c r="CYL63" s="1"/>
      <c r="CYR63" s="2"/>
      <c r="CYS63" s="6"/>
      <c r="CYT63" s="1"/>
      <c r="CYZ63" s="2"/>
      <c r="CZA63" s="6"/>
      <c r="CZB63" s="1"/>
      <c r="CZH63" s="2"/>
      <c r="CZI63" s="6"/>
      <c r="CZJ63" s="1"/>
      <c r="CZP63" s="2"/>
      <c r="CZQ63" s="6"/>
      <c r="CZR63" s="1"/>
      <c r="CZX63" s="2"/>
      <c r="CZY63" s="6"/>
      <c r="CZZ63" s="1"/>
      <c r="DAF63" s="2"/>
      <c r="DAG63" s="6"/>
      <c r="DAH63" s="1"/>
      <c r="DAN63" s="2"/>
      <c r="DAO63" s="6"/>
      <c r="DAP63" s="1"/>
      <c r="DAV63" s="2"/>
      <c r="DAW63" s="6"/>
      <c r="DAX63" s="1"/>
      <c r="DBD63" s="2"/>
      <c r="DBE63" s="6"/>
      <c r="DBF63" s="1"/>
      <c r="DBL63" s="2"/>
      <c r="DBM63" s="6"/>
      <c r="DBN63" s="1"/>
      <c r="DBT63" s="2"/>
      <c r="DBU63" s="6"/>
      <c r="DBV63" s="1"/>
      <c r="DCB63" s="2"/>
      <c r="DCC63" s="6"/>
      <c r="DCD63" s="1"/>
      <c r="DCJ63" s="2"/>
      <c r="DCK63" s="6"/>
      <c r="DCL63" s="1"/>
      <c r="DCR63" s="2"/>
      <c r="DCS63" s="6"/>
      <c r="DCT63" s="1"/>
      <c r="DCZ63" s="2"/>
      <c r="DDA63" s="6"/>
      <c r="DDB63" s="1"/>
      <c r="DDH63" s="2"/>
      <c r="DDI63" s="6"/>
      <c r="DDJ63" s="1"/>
      <c r="DDP63" s="2"/>
      <c r="DDQ63" s="6"/>
      <c r="DDR63" s="1"/>
      <c r="DDX63" s="2"/>
      <c r="DDY63" s="6"/>
      <c r="DDZ63" s="1"/>
      <c r="DEF63" s="2"/>
      <c r="DEG63" s="6"/>
      <c r="DEH63" s="1"/>
      <c r="DEN63" s="2"/>
      <c r="DEO63" s="6"/>
      <c r="DEP63" s="1"/>
      <c r="DEV63" s="2"/>
      <c r="DEW63" s="6"/>
      <c r="DEX63" s="1"/>
      <c r="DFD63" s="2"/>
      <c r="DFE63" s="6"/>
      <c r="DFF63" s="1"/>
      <c r="DFL63" s="2"/>
      <c r="DFM63" s="6"/>
      <c r="DFN63" s="1"/>
      <c r="DFT63" s="2"/>
      <c r="DFU63" s="6"/>
      <c r="DFV63" s="1"/>
      <c r="DGB63" s="2"/>
      <c r="DGC63" s="6"/>
      <c r="DGD63" s="1"/>
      <c r="DGJ63" s="2"/>
      <c r="DGK63" s="6"/>
      <c r="DGL63" s="1"/>
      <c r="DGR63" s="2"/>
      <c r="DGS63" s="6"/>
      <c r="DGT63" s="1"/>
      <c r="DGZ63" s="2"/>
      <c r="DHA63" s="6"/>
      <c r="DHB63" s="1"/>
      <c r="DHH63" s="2"/>
      <c r="DHI63" s="6"/>
      <c r="DHJ63" s="1"/>
      <c r="DHP63" s="2"/>
      <c r="DHQ63" s="6"/>
      <c r="DHR63" s="1"/>
      <c r="DHX63" s="2"/>
      <c r="DHY63" s="6"/>
      <c r="DHZ63" s="1"/>
      <c r="DIF63" s="2"/>
      <c r="DIG63" s="6"/>
      <c r="DIH63" s="1"/>
      <c r="DIN63" s="2"/>
      <c r="DIO63" s="6"/>
      <c r="DIP63" s="1"/>
      <c r="DIV63" s="2"/>
      <c r="DIW63" s="6"/>
      <c r="DIX63" s="1"/>
      <c r="DJD63" s="2"/>
      <c r="DJE63" s="6"/>
      <c r="DJF63" s="1"/>
      <c r="DJL63" s="2"/>
      <c r="DJM63" s="6"/>
      <c r="DJN63" s="1"/>
      <c r="DJT63" s="2"/>
      <c r="DJU63" s="6"/>
      <c r="DJV63" s="1"/>
      <c r="DKB63" s="2"/>
      <c r="DKC63" s="6"/>
      <c r="DKD63" s="1"/>
      <c r="DKJ63" s="2"/>
      <c r="DKK63" s="6"/>
      <c r="DKL63" s="1"/>
      <c r="DKR63" s="2"/>
      <c r="DKS63" s="6"/>
      <c r="DKT63" s="1"/>
      <c r="DKZ63" s="2"/>
      <c r="DLA63" s="6"/>
      <c r="DLB63" s="1"/>
      <c r="DLH63" s="2"/>
      <c r="DLI63" s="6"/>
      <c r="DLJ63" s="1"/>
      <c r="DLP63" s="2"/>
      <c r="DLQ63" s="6"/>
      <c r="DLR63" s="1"/>
      <c r="DLX63" s="2"/>
      <c r="DLY63" s="6"/>
      <c r="DLZ63" s="1"/>
      <c r="DMF63" s="2"/>
      <c r="DMG63" s="6"/>
      <c r="DMH63" s="1"/>
      <c r="DMN63" s="2"/>
      <c r="DMO63" s="6"/>
      <c r="DMP63" s="1"/>
      <c r="DMV63" s="2"/>
      <c r="DMW63" s="6"/>
      <c r="DMX63" s="1"/>
      <c r="DND63" s="2"/>
      <c r="DNE63" s="6"/>
      <c r="DNF63" s="1"/>
      <c r="DNL63" s="2"/>
      <c r="DNM63" s="6"/>
      <c r="DNN63" s="1"/>
      <c r="DNT63" s="2"/>
      <c r="DNU63" s="6"/>
      <c r="DNV63" s="1"/>
      <c r="DOB63" s="2"/>
      <c r="DOC63" s="6"/>
      <c r="DOD63" s="1"/>
      <c r="DOJ63" s="2"/>
      <c r="DOK63" s="6"/>
      <c r="DOL63" s="1"/>
      <c r="DOR63" s="2"/>
      <c r="DOS63" s="6"/>
      <c r="DOT63" s="1"/>
      <c r="DOZ63" s="2"/>
      <c r="DPA63" s="6"/>
      <c r="DPB63" s="1"/>
      <c r="DPH63" s="2"/>
      <c r="DPI63" s="6"/>
      <c r="DPJ63" s="1"/>
      <c r="DPP63" s="2"/>
      <c r="DPQ63" s="6"/>
      <c r="DPR63" s="1"/>
      <c r="DPX63" s="2"/>
      <c r="DPY63" s="6"/>
      <c r="DPZ63" s="1"/>
      <c r="DQF63" s="2"/>
      <c r="DQG63" s="6"/>
      <c r="DQH63" s="1"/>
      <c r="DQN63" s="2"/>
      <c r="DQO63" s="6"/>
      <c r="DQP63" s="1"/>
      <c r="DQV63" s="2"/>
      <c r="DQW63" s="6"/>
      <c r="DQX63" s="1"/>
      <c r="DRD63" s="2"/>
      <c r="DRE63" s="6"/>
      <c r="DRF63" s="1"/>
      <c r="DRL63" s="2"/>
      <c r="DRM63" s="6"/>
      <c r="DRN63" s="1"/>
      <c r="DRT63" s="2"/>
      <c r="DRU63" s="6"/>
      <c r="DRV63" s="1"/>
      <c r="DSB63" s="2"/>
      <c r="DSC63" s="6"/>
      <c r="DSD63" s="1"/>
      <c r="DSJ63" s="2"/>
      <c r="DSK63" s="6"/>
      <c r="DSL63" s="1"/>
      <c r="DSR63" s="2"/>
      <c r="DSS63" s="6"/>
      <c r="DST63" s="1"/>
      <c r="DSZ63" s="2"/>
      <c r="DTA63" s="6"/>
      <c r="DTB63" s="1"/>
      <c r="DTH63" s="2"/>
      <c r="DTI63" s="6"/>
      <c r="DTJ63" s="1"/>
      <c r="DTP63" s="2"/>
      <c r="DTQ63" s="6"/>
      <c r="DTR63" s="1"/>
      <c r="DTX63" s="2"/>
      <c r="DTY63" s="6"/>
      <c r="DTZ63" s="1"/>
      <c r="DUF63" s="2"/>
      <c r="DUG63" s="6"/>
      <c r="DUH63" s="1"/>
      <c r="DUN63" s="2"/>
      <c r="DUO63" s="6"/>
      <c r="DUP63" s="1"/>
      <c r="DUV63" s="2"/>
      <c r="DUW63" s="6"/>
      <c r="DUX63" s="1"/>
      <c r="DVD63" s="2"/>
      <c r="DVE63" s="6"/>
      <c r="DVF63" s="1"/>
      <c r="DVL63" s="2"/>
      <c r="DVM63" s="6"/>
      <c r="DVN63" s="1"/>
      <c r="DVT63" s="2"/>
      <c r="DVU63" s="6"/>
      <c r="DVV63" s="1"/>
      <c r="DWB63" s="2"/>
      <c r="DWC63" s="6"/>
      <c r="DWD63" s="1"/>
      <c r="DWJ63" s="2"/>
      <c r="DWK63" s="6"/>
      <c r="DWL63" s="1"/>
      <c r="DWR63" s="2"/>
      <c r="DWS63" s="6"/>
      <c r="DWT63" s="1"/>
      <c r="DWZ63" s="2"/>
      <c r="DXA63" s="6"/>
      <c r="DXB63" s="1"/>
      <c r="DXH63" s="2"/>
      <c r="DXI63" s="6"/>
      <c r="DXJ63" s="1"/>
      <c r="DXP63" s="2"/>
      <c r="DXQ63" s="6"/>
      <c r="DXR63" s="1"/>
      <c r="DXX63" s="2"/>
      <c r="DXY63" s="6"/>
      <c r="DXZ63" s="1"/>
      <c r="DYF63" s="2"/>
      <c r="DYG63" s="6"/>
      <c r="DYH63" s="1"/>
      <c r="DYN63" s="2"/>
      <c r="DYO63" s="6"/>
      <c r="DYP63" s="1"/>
      <c r="DYV63" s="2"/>
      <c r="DYW63" s="6"/>
      <c r="DYX63" s="1"/>
      <c r="DZD63" s="2"/>
      <c r="DZE63" s="6"/>
      <c r="DZF63" s="1"/>
      <c r="DZL63" s="2"/>
      <c r="DZM63" s="6"/>
      <c r="DZN63" s="1"/>
      <c r="DZT63" s="2"/>
      <c r="DZU63" s="6"/>
      <c r="DZV63" s="1"/>
      <c r="EAB63" s="2"/>
      <c r="EAC63" s="6"/>
      <c r="EAD63" s="1"/>
      <c r="EAJ63" s="2"/>
      <c r="EAK63" s="6"/>
      <c r="EAL63" s="1"/>
      <c r="EAR63" s="2"/>
      <c r="EAS63" s="6"/>
      <c r="EAT63" s="1"/>
      <c r="EAZ63" s="2"/>
      <c r="EBA63" s="6"/>
      <c r="EBB63" s="1"/>
      <c r="EBH63" s="2"/>
      <c r="EBI63" s="6"/>
      <c r="EBJ63" s="1"/>
      <c r="EBP63" s="2"/>
      <c r="EBQ63" s="6"/>
      <c r="EBR63" s="1"/>
      <c r="EBX63" s="2"/>
      <c r="EBY63" s="6"/>
      <c r="EBZ63" s="1"/>
      <c r="ECF63" s="2"/>
      <c r="ECG63" s="6"/>
      <c r="ECH63" s="1"/>
      <c r="ECN63" s="2"/>
      <c r="ECO63" s="6"/>
      <c r="ECP63" s="1"/>
      <c r="ECV63" s="2"/>
      <c r="ECW63" s="6"/>
      <c r="ECX63" s="1"/>
      <c r="EDD63" s="2"/>
      <c r="EDE63" s="6"/>
      <c r="EDF63" s="1"/>
      <c r="EDL63" s="2"/>
      <c r="EDM63" s="6"/>
      <c r="EDN63" s="1"/>
      <c r="EDT63" s="2"/>
      <c r="EDU63" s="6"/>
      <c r="EDV63" s="1"/>
      <c r="EEB63" s="2"/>
      <c r="EEC63" s="6"/>
      <c r="EED63" s="1"/>
      <c r="EEJ63" s="2"/>
      <c r="EEK63" s="6"/>
      <c r="EEL63" s="1"/>
      <c r="EER63" s="2"/>
      <c r="EES63" s="6"/>
      <c r="EET63" s="1"/>
      <c r="EEZ63" s="2"/>
      <c r="EFA63" s="6"/>
      <c r="EFB63" s="1"/>
      <c r="EFH63" s="2"/>
      <c r="EFI63" s="6"/>
      <c r="EFJ63" s="1"/>
      <c r="EFP63" s="2"/>
      <c r="EFQ63" s="6"/>
      <c r="EFR63" s="1"/>
      <c r="EFX63" s="2"/>
      <c r="EFY63" s="6"/>
      <c r="EFZ63" s="1"/>
      <c r="EGF63" s="2"/>
      <c r="EGG63" s="6"/>
      <c r="EGH63" s="1"/>
      <c r="EGN63" s="2"/>
      <c r="EGO63" s="6"/>
      <c r="EGP63" s="1"/>
      <c r="EGV63" s="2"/>
      <c r="EGW63" s="6"/>
      <c r="EGX63" s="1"/>
      <c r="EHD63" s="2"/>
      <c r="EHE63" s="6"/>
      <c r="EHF63" s="1"/>
      <c r="EHL63" s="2"/>
      <c r="EHM63" s="6"/>
      <c r="EHN63" s="1"/>
      <c r="EHT63" s="2"/>
      <c r="EHU63" s="6"/>
      <c r="EHV63" s="1"/>
      <c r="EIB63" s="2"/>
      <c r="EIC63" s="6"/>
      <c r="EID63" s="1"/>
      <c r="EIJ63" s="2"/>
      <c r="EIK63" s="6"/>
      <c r="EIL63" s="1"/>
      <c r="EIR63" s="2"/>
      <c r="EIS63" s="6"/>
      <c r="EIT63" s="1"/>
      <c r="EIZ63" s="2"/>
      <c r="EJA63" s="6"/>
      <c r="EJB63" s="1"/>
      <c r="EJH63" s="2"/>
      <c r="EJI63" s="6"/>
      <c r="EJJ63" s="1"/>
      <c r="EJP63" s="2"/>
      <c r="EJQ63" s="6"/>
      <c r="EJR63" s="1"/>
      <c r="EJX63" s="2"/>
      <c r="EJY63" s="6"/>
      <c r="EJZ63" s="1"/>
      <c r="EKF63" s="2"/>
      <c r="EKG63" s="6"/>
      <c r="EKH63" s="1"/>
      <c r="EKN63" s="2"/>
      <c r="EKO63" s="6"/>
      <c r="EKP63" s="1"/>
      <c r="EKV63" s="2"/>
      <c r="EKW63" s="6"/>
      <c r="EKX63" s="1"/>
      <c r="ELD63" s="2"/>
      <c r="ELE63" s="6"/>
      <c r="ELF63" s="1"/>
      <c r="ELL63" s="2"/>
      <c r="ELM63" s="6"/>
      <c r="ELN63" s="1"/>
      <c r="ELT63" s="2"/>
      <c r="ELU63" s="6"/>
      <c r="ELV63" s="1"/>
      <c r="EMB63" s="2"/>
      <c r="EMC63" s="6"/>
      <c r="EMD63" s="1"/>
      <c r="EMJ63" s="2"/>
      <c r="EMK63" s="6"/>
      <c r="EML63" s="1"/>
      <c r="EMR63" s="2"/>
      <c r="EMS63" s="6"/>
      <c r="EMT63" s="1"/>
      <c r="EMZ63" s="2"/>
      <c r="ENA63" s="6"/>
      <c r="ENB63" s="1"/>
      <c r="ENH63" s="2"/>
      <c r="ENI63" s="6"/>
      <c r="ENJ63" s="1"/>
      <c r="ENP63" s="2"/>
      <c r="ENQ63" s="6"/>
      <c r="ENR63" s="1"/>
      <c r="ENX63" s="2"/>
      <c r="ENY63" s="6"/>
      <c r="ENZ63" s="1"/>
      <c r="EOF63" s="2"/>
      <c r="EOG63" s="6"/>
      <c r="EOH63" s="1"/>
      <c r="EON63" s="2"/>
      <c r="EOO63" s="6"/>
      <c r="EOP63" s="1"/>
      <c r="EOV63" s="2"/>
      <c r="EOW63" s="6"/>
      <c r="EOX63" s="1"/>
      <c r="EPD63" s="2"/>
      <c r="EPE63" s="6"/>
      <c r="EPF63" s="1"/>
      <c r="EPL63" s="2"/>
      <c r="EPM63" s="6"/>
      <c r="EPN63" s="1"/>
      <c r="EPT63" s="2"/>
      <c r="EPU63" s="6"/>
      <c r="EPV63" s="1"/>
      <c r="EQB63" s="2"/>
      <c r="EQC63" s="6"/>
      <c r="EQD63" s="1"/>
      <c r="EQJ63" s="2"/>
      <c r="EQK63" s="6"/>
      <c r="EQL63" s="1"/>
      <c r="EQR63" s="2"/>
      <c r="EQS63" s="6"/>
      <c r="EQT63" s="1"/>
      <c r="EQZ63" s="2"/>
      <c r="ERA63" s="6"/>
      <c r="ERB63" s="1"/>
      <c r="ERH63" s="2"/>
      <c r="ERI63" s="6"/>
      <c r="ERJ63" s="1"/>
      <c r="ERP63" s="2"/>
      <c r="ERQ63" s="6"/>
      <c r="ERR63" s="1"/>
      <c r="ERX63" s="2"/>
      <c r="ERY63" s="6"/>
      <c r="ERZ63" s="1"/>
      <c r="ESF63" s="2"/>
      <c r="ESG63" s="6"/>
      <c r="ESH63" s="1"/>
      <c r="ESN63" s="2"/>
      <c r="ESO63" s="6"/>
      <c r="ESP63" s="1"/>
      <c r="ESV63" s="2"/>
      <c r="ESW63" s="6"/>
      <c r="ESX63" s="1"/>
      <c r="ETD63" s="2"/>
      <c r="ETE63" s="6"/>
      <c r="ETF63" s="1"/>
      <c r="ETL63" s="2"/>
      <c r="ETM63" s="6"/>
      <c r="ETN63" s="1"/>
      <c r="ETT63" s="2"/>
      <c r="ETU63" s="6"/>
      <c r="ETV63" s="1"/>
      <c r="EUB63" s="2"/>
      <c r="EUC63" s="6"/>
      <c r="EUD63" s="1"/>
      <c r="EUJ63" s="2"/>
      <c r="EUK63" s="6"/>
      <c r="EUL63" s="1"/>
      <c r="EUR63" s="2"/>
      <c r="EUS63" s="6"/>
      <c r="EUT63" s="1"/>
      <c r="EUZ63" s="2"/>
      <c r="EVA63" s="6"/>
      <c r="EVB63" s="1"/>
      <c r="EVH63" s="2"/>
      <c r="EVI63" s="6"/>
      <c r="EVJ63" s="1"/>
      <c r="EVP63" s="2"/>
      <c r="EVQ63" s="6"/>
      <c r="EVR63" s="1"/>
      <c r="EVX63" s="2"/>
      <c r="EVY63" s="6"/>
      <c r="EVZ63" s="1"/>
      <c r="EWF63" s="2"/>
      <c r="EWG63" s="6"/>
      <c r="EWH63" s="1"/>
      <c r="EWN63" s="2"/>
      <c r="EWO63" s="6"/>
      <c r="EWP63" s="1"/>
      <c r="EWV63" s="2"/>
      <c r="EWW63" s="6"/>
      <c r="EWX63" s="1"/>
      <c r="EXD63" s="2"/>
      <c r="EXE63" s="6"/>
      <c r="EXF63" s="1"/>
      <c r="EXL63" s="2"/>
      <c r="EXM63" s="6"/>
      <c r="EXN63" s="1"/>
      <c r="EXT63" s="2"/>
      <c r="EXU63" s="6"/>
      <c r="EXV63" s="1"/>
      <c r="EYB63" s="2"/>
      <c r="EYC63" s="6"/>
      <c r="EYD63" s="1"/>
      <c r="EYJ63" s="2"/>
      <c r="EYK63" s="6"/>
      <c r="EYL63" s="1"/>
      <c r="EYR63" s="2"/>
      <c r="EYS63" s="6"/>
      <c r="EYT63" s="1"/>
      <c r="EYZ63" s="2"/>
      <c r="EZA63" s="6"/>
      <c r="EZB63" s="1"/>
      <c r="EZH63" s="2"/>
      <c r="EZI63" s="6"/>
      <c r="EZJ63" s="1"/>
      <c r="EZP63" s="2"/>
      <c r="EZQ63" s="6"/>
      <c r="EZR63" s="1"/>
      <c r="EZX63" s="2"/>
      <c r="EZY63" s="6"/>
      <c r="EZZ63" s="1"/>
      <c r="FAF63" s="2"/>
      <c r="FAG63" s="6"/>
      <c r="FAH63" s="1"/>
      <c r="FAN63" s="2"/>
      <c r="FAO63" s="6"/>
      <c r="FAP63" s="1"/>
      <c r="FAV63" s="2"/>
      <c r="FAW63" s="6"/>
      <c r="FAX63" s="1"/>
      <c r="FBD63" s="2"/>
      <c r="FBE63" s="6"/>
      <c r="FBF63" s="1"/>
      <c r="FBL63" s="2"/>
      <c r="FBM63" s="6"/>
      <c r="FBN63" s="1"/>
      <c r="FBT63" s="2"/>
      <c r="FBU63" s="6"/>
      <c r="FBV63" s="1"/>
      <c r="FCB63" s="2"/>
      <c r="FCC63" s="6"/>
      <c r="FCD63" s="1"/>
      <c r="FCJ63" s="2"/>
      <c r="FCK63" s="6"/>
      <c r="FCL63" s="1"/>
      <c r="FCR63" s="2"/>
      <c r="FCS63" s="6"/>
      <c r="FCT63" s="1"/>
      <c r="FCZ63" s="2"/>
      <c r="FDA63" s="6"/>
      <c r="FDB63" s="1"/>
      <c r="FDH63" s="2"/>
      <c r="FDI63" s="6"/>
      <c r="FDJ63" s="1"/>
      <c r="FDP63" s="2"/>
      <c r="FDQ63" s="6"/>
      <c r="FDR63" s="1"/>
      <c r="FDX63" s="2"/>
      <c r="FDY63" s="6"/>
      <c r="FDZ63" s="1"/>
      <c r="FEF63" s="2"/>
      <c r="FEG63" s="6"/>
      <c r="FEH63" s="1"/>
      <c r="FEN63" s="2"/>
      <c r="FEO63" s="6"/>
      <c r="FEP63" s="1"/>
      <c r="FEV63" s="2"/>
      <c r="FEW63" s="6"/>
      <c r="FEX63" s="1"/>
      <c r="FFD63" s="2"/>
      <c r="FFE63" s="6"/>
      <c r="FFF63" s="1"/>
      <c r="FFL63" s="2"/>
      <c r="FFM63" s="6"/>
      <c r="FFN63" s="1"/>
      <c r="FFT63" s="2"/>
      <c r="FFU63" s="6"/>
      <c r="FFV63" s="1"/>
      <c r="FGB63" s="2"/>
      <c r="FGC63" s="6"/>
      <c r="FGD63" s="1"/>
      <c r="FGJ63" s="2"/>
      <c r="FGK63" s="6"/>
      <c r="FGL63" s="1"/>
      <c r="FGR63" s="2"/>
      <c r="FGS63" s="6"/>
      <c r="FGT63" s="1"/>
      <c r="FGZ63" s="2"/>
      <c r="FHA63" s="6"/>
      <c r="FHB63" s="1"/>
      <c r="FHH63" s="2"/>
      <c r="FHI63" s="6"/>
      <c r="FHJ63" s="1"/>
      <c r="FHP63" s="2"/>
      <c r="FHQ63" s="6"/>
      <c r="FHR63" s="1"/>
      <c r="FHX63" s="2"/>
      <c r="FHY63" s="6"/>
      <c r="FHZ63" s="1"/>
      <c r="FIF63" s="2"/>
      <c r="FIG63" s="6"/>
      <c r="FIH63" s="1"/>
      <c r="FIN63" s="2"/>
      <c r="FIO63" s="6"/>
      <c r="FIP63" s="1"/>
      <c r="FIV63" s="2"/>
      <c r="FIW63" s="6"/>
      <c r="FIX63" s="1"/>
      <c r="FJD63" s="2"/>
      <c r="FJE63" s="6"/>
      <c r="FJF63" s="1"/>
      <c r="FJL63" s="2"/>
      <c r="FJM63" s="6"/>
      <c r="FJN63" s="1"/>
      <c r="FJT63" s="2"/>
      <c r="FJU63" s="6"/>
      <c r="FJV63" s="1"/>
      <c r="FKB63" s="2"/>
      <c r="FKC63" s="6"/>
      <c r="FKD63" s="1"/>
      <c r="FKJ63" s="2"/>
      <c r="FKK63" s="6"/>
      <c r="FKL63" s="1"/>
      <c r="FKR63" s="2"/>
      <c r="FKS63" s="6"/>
      <c r="FKT63" s="1"/>
      <c r="FKZ63" s="2"/>
      <c r="FLA63" s="6"/>
      <c r="FLB63" s="1"/>
      <c r="FLH63" s="2"/>
      <c r="FLI63" s="6"/>
      <c r="FLJ63" s="1"/>
      <c r="FLP63" s="2"/>
      <c r="FLQ63" s="6"/>
      <c r="FLR63" s="1"/>
      <c r="FLX63" s="2"/>
      <c r="FLY63" s="6"/>
      <c r="FLZ63" s="1"/>
      <c r="FMF63" s="2"/>
      <c r="FMG63" s="6"/>
      <c r="FMH63" s="1"/>
      <c r="FMN63" s="2"/>
      <c r="FMO63" s="6"/>
      <c r="FMP63" s="1"/>
      <c r="FMV63" s="2"/>
      <c r="FMW63" s="6"/>
      <c r="FMX63" s="1"/>
      <c r="FND63" s="2"/>
      <c r="FNE63" s="6"/>
      <c r="FNF63" s="1"/>
      <c r="FNL63" s="2"/>
      <c r="FNM63" s="6"/>
      <c r="FNN63" s="1"/>
      <c r="FNT63" s="2"/>
      <c r="FNU63" s="6"/>
      <c r="FNV63" s="1"/>
      <c r="FOB63" s="2"/>
      <c r="FOC63" s="6"/>
      <c r="FOD63" s="1"/>
      <c r="FOJ63" s="2"/>
      <c r="FOK63" s="6"/>
      <c r="FOL63" s="1"/>
      <c r="FOR63" s="2"/>
      <c r="FOS63" s="6"/>
      <c r="FOT63" s="1"/>
      <c r="FOZ63" s="2"/>
      <c r="FPA63" s="6"/>
      <c r="FPB63" s="1"/>
      <c r="FPH63" s="2"/>
      <c r="FPI63" s="6"/>
      <c r="FPJ63" s="1"/>
      <c r="FPP63" s="2"/>
      <c r="FPQ63" s="6"/>
      <c r="FPR63" s="1"/>
      <c r="FPX63" s="2"/>
      <c r="FPY63" s="6"/>
      <c r="FPZ63" s="1"/>
      <c r="FQF63" s="2"/>
      <c r="FQG63" s="6"/>
      <c r="FQH63" s="1"/>
      <c r="FQN63" s="2"/>
      <c r="FQO63" s="6"/>
      <c r="FQP63" s="1"/>
      <c r="FQV63" s="2"/>
      <c r="FQW63" s="6"/>
      <c r="FQX63" s="1"/>
      <c r="FRD63" s="2"/>
      <c r="FRE63" s="6"/>
      <c r="FRF63" s="1"/>
      <c r="FRL63" s="2"/>
      <c r="FRM63" s="6"/>
      <c r="FRN63" s="1"/>
      <c r="FRT63" s="2"/>
      <c r="FRU63" s="6"/>
      <c r="FRV63" s="1"/>
      <c r="FSB63" s="2"/>
      <c r="FSC63" s="6"/>
      <c r="FSD63" s="1"/>
      <c r="FSJ63" s="2"/>
      <c r="FSK63" s="6"/>
      <c r="FSL63" s="1"/>
      <c r="FSR63" s="2"/>
      <c r="FSS63" s="6"/>
      <c r="FST63" s="1"/>
      <c r="FSZ63" s="2"/>
      <c r="FTA63" s="6"/>
      <c r="FTB63" s="1"/>
      <c r="FTH63" s="2"/>
      <c r="FTI63" s="6"/>
      <c r="FTJ63" s="1"/>
      <c r="FTP63" s="2"/>
      <c r="FTQ63" s="6"/>
      <c r="FTR63" s="1"/>
      <c r="FTX63" s="2"/>
      <c r="FTY63" s="6"/>
      <c r="FTZ63" s="1"/>
      <c r="FUF63" s="2"/>
      <c r="FUG63" s="6"/>
      <c r="FUH63" s="1"/>
      <c r="FUN63" s="2"/>
      <c r="FUO63" s="6"/>
      <c r="FUP63" s="1"/>
      <c r="FUV63" s="2"/>
      <c r="FUW63" s="6"/>
      <c r="FUX63" s="1"/>
      <c r="FVD63" s="2"/>
      <c r="FVE63" s="6"/>
      <c r="FVF63" s="1"/>
      <c r="FVL63" s="2"/>
      <c r="FVM63" s="6"/>
      <c r="FVN63" s="1"/>
      <c r="FVT63" s="2"/>
      <c r="FVU63" s="6"/>
      <c r="FVV63" s="1"/>
      <c r="FWB63" s="2"/>
      <c r="FWC63" s="6"/>
      <c r="FWD63" s="1"/>
      <c r="FWJ63" s="2"/>
      <c r="FWK63" s="6"/>
      <c r="FWL63" s="1"/>
      <c r="FWR63" s="2"/>
      <c r="FWS63" s="6"/>
      <c r="FWT63" s="1"/>
      <c r="FWZ63" s="2"/>
      <c r="FXA63" s="6"/>
      <c r="FXB63" s="1"/>
      <c r="FXH63" s="2"/>
      <c r="FXI63" s="6"/>
      <c r="FXJ63" s="1"/>
      <c r="FXP63" s="2"/>
      <c r="FXQ63" s="6"/>
      <c r="FXR63" s="1"/>
      <c r="FXX63" s="2"/>
      <c r="FXY63" s="6"/>
      <c r="FXZ63" s="1"/>
      <c r="FYF63" s="2"/>
      <c r="FYG63" s="6"/>
      <c r="FYH63" s="1"/>
      <c r="FYN63" s="2"/>
      <c r="FYO63" s="6"/>
      <c r="FYP63" s="1"/>
      <c r="FYV63" s="2"/>
      <c r="FYW63" s="6"/>
      <c r="FYX63" s="1"/>
      <c r="FZD63" s="2"/>
      <c r="FZE63" s="6"/>
      <c r="FZF63" s="1"/>
      <c r="FZL63" s="2"/>
      <c r="FZM63" s="6"/>
      <c r="FZN63" s="1"/>
      <c r="FZT63" s="2"/>
      <c r="FZU63" s="6"/>
      <c r="FZV63" s="1"/>
      <c r="GAB63" s="2"/>
      <c r="GAC63" s="6"/>
      <c r="GAD63" s="1"/>
      <c r="GAJ63" s="2"/>
      <c r="GAK63" s="6"/>
      <c r="GAL63" s="1"/>
      <c r="GAR63" s="2"/>
      <c r="GAS63" s="6"/>
      <c r="GAT63" s="1"/>
      <c r="GAZ63" s="2"/>
      <c r="GBA63" s="6"/>
      <c r="GBB63" s="1"/>
      <c r="GBH63" s="2"/>
      <c r="GBI63" s="6"/>
      <c r="GBJ63" s="1"/>
      <c r="GBP63" s="2"/>
      <c r="GBQ63" s="6"/>
      <c r="GBR63" s="1"/>
      <c r="GBX63" s="2"/>
      <c r="GBY63" s="6"/>
      <c r="GBZ63" s="1"/>
      <c r="GCF63" s="2"/>
      <c r="GCG63" s="6"/>
      <c r="GCH63" s="1"/>
      <c r="GCN63" s="2"/>
      <c r="GCO63" s="6"/>
      <c r="GCP63" s="1"/>
      <c r="GCV63" s="2"/>
      <c r="GCW63" s="6"/>
      <c r="GCX63" s="1"/>
      <c r="GDD63" s="2"/>
      <c r="GDE63" s="6"/>
      <c r="GDF63" s="1"/>
      <c r="GDL63" s="2"/>
      <c r="GDM63" s="6"/>
      <c r="GDN63" s="1"/>
      <c r="GDT63" s="2"/>
      <c r="GDU63" s="6"/>
      <c r="GDV63" s="1"/>
      <c r="GEB63" s="2"/>
      <c r="GEC63" s="6"/>
      <c r="GED63" s="1"/>
      <c r="GEJ63" s="2"/>
      <c r="GEK63" s="6"/>
      <c r="GEL63" s="1"/>
      <c r="GER63" s="2"/>
      <c r="GES63" s="6"/>
      <c r="GET63" s="1"/>
      <c r="GEZ63" s="2"/>
      <c r="GFA63" s="6"/>
      <c r="GFB63" s="1"/>
      <c r="GFH63" s="2"/>
      <c r="GFI63" s="6"/>
      <c r="GFJ63" s="1"/>
      <c r="GFP63" s="2"/>
      <c r="GFQ63" s="6"/>
      <c r="GFR63" s="1"/>
      <c r="GFX63" s="2"/>
      <c r="GFY63" s="6"/>
      <c r="GFZ63" s="1"/>
      <c r="GGF63" s="2"/>
      <c r="GGG63" s="6"/>
      <c r="GGH63" s="1"/>
      <c r="GGN63" s="2"/>
      <c r="GGO63" s="6"/>
      <c r="GGP63" s="1"/>
      <c r="GGV63" s="2"/>
      <c r="GGW63" s="6"/>
      <c r="GGX63" s="1"/>
      <c r="GHD63" s="2"/>
      <c r="GHE63" s="6"/>
      <c r="GHF63" s="1"/>
      <c r="GHL63" s="2"/>
      <c r="GHM63" s="6"/>
      <c r="GHN63" s="1"/>
      <c r="GHT63" s="2"/>
      <c r="GHU63" s="6"/>
      <c r="GHV63" s="1"/>
      <c r="GIB63" s="2"/>
      <c r="GIC63" s="6"/>
      <c r="GID63" s="1"/>
      <c r="GIJ63" s="2"/>
      <c r="GIK63" s="6"/>
      <c r="GIL63" s="1"/>
      <c r="GIR63" s="2"/>
      <c r="GIS63" s="6"/>
      <c r="GIT63" s="1"/>
      <c r="GIZ63" s="2"/>
      <c r="GJA63" s="6"/>
      <c r="GJB63" s="1"/>
      <c r="GJH63" s="2"/>
      <c r="GJI63" s="6"/>
      <c r="GJJ63" s="1"/>
      <c r="GJP63" s="2"/>
      <c r="GJQ63" s="6"/>
      <c r="GJR63" s="1"/>
      <c r="GJX63" s="2"/>
      <c r="GJY63" s="6"/>
      <c r="GJZ63" s="1"/>
      <c r="GKF63" s="2"/>
      <c r="GKG63" s="6"/>
      <c r="GKH63" s="1"/>
      <c r="GKN63" s="2"/>
      <c r="GKO63" s="6"/>
      <c r="GKP63" s="1"/>
      <c r="GKV63" s="2"/>
      <c r="GKW63" s="6"/>
      <c r="GKX63" s="1"/>
      <c r="GLD63" s="2"/>
      <c r="GLE63" s="6"/>
      <c r="GLF63" s="1"/>
      <c r="GLL63" s="2"/>
      <c r="GLM63" s="6"/>
      <c r="GLN63" s="1"/>
      <c r="GLT63" s="2"/>
      <c r="GLU63" s="6"/>
      <c r="GLV63" s="1"/>
      <c r="GMB63" s="2"/>
      <c r="GMC63" s="6"/>
      <c r="GMD63" s="1"/>
      <c r="GMJ63" s="2"/>
      <c r="GMK63" s="6"/>
      <c r="GML63" s="1"/>
      <c r="GMR63" s="2"/>
      <c r="GMS63" s="6"/>
      <c r="GMT63" s="1"/>
      <c r="GMZ63" s="2"/>
      <c r="GNA63" s="6"/>
      <c r="GNB63" s="1"/>
      <c r="GNH63" s="2"/>
      <c r="GNI63" s="6"/>
      <c r="GNJ63" s="1"/>
      <c r="GNP63" s="2"/>
      <c r="GNQ63" s="6"/>
      <c r="GNR63" s="1"/>
      <c r="GNX63" s="2"/>
      <c r="GNY63" s="6"/>
      <c r="GNZ63" s="1"/>
      <c r="GOF63" s="2"/>
      <c r="GOG63" s="6"/>
      <c r="GOH63" s="1"/>
      <c r="GON63" s="2"/>
      <c r="GOO63" s="6"/>
      <c r="GOP63" s="1"/>
      <c r="GOV63" s="2"/>
      <c r="GOW63" s="6"/>
      <c r="GOX63" s="1"/>
      <c r="GPD63" s="2"/>
      <c r="GPE63" s="6"/>
      <c r="GPF63" s="1"/>
      <c r="GPL63" s="2"/>
      <c r="GPM63" s="6"/>
      <c r="GPN63" s="1"/>
      <c r="GPT63" s="2"/>
      <c r="GPU63" s="6"/>
      <c r="GPV63" s="1"/>
      <c r="GQB63" s="2"/>
      <c r="GQC63" s="6"/>
      <c r="GQD63" s="1"/>
      <c r="GQJ63" s="2"/>
      <c r="GQK63" s="6"/>
      <c r="GQL63" s="1"/>
      <c r="GQR63" s="2"/>
      <c r="GQS63" s="6"/>
      <c r="GQT63" s="1"/>
      <c r="GQZ63" s="2"/>
      <c r="GRA63" s="6"/>
      <c r="GRB63" s="1"/>
      <c r="GRH63" s="2"/>
      <c r="GRI63" s="6"/>
      <c r="GRJ63" s="1"/>
      <c r="GRP63" s="2"/>
      <c r="GRQ63" s="6"/>
      <c r="GRR63" s="1"/>
      <c r="GRX63" s="2"/>
      <c r="GRY63" s="6"/>
      <c r="GRZ63" s="1"/>
      <c r="GSF63" s="2"/>
      <c r="GSG63" s="6"/>
      <c r="GSH63" s="1"/>
      <c r="GSN63" s="2"/>
      <c r="GSO63" s="6"/>
      <c r="GSP63" s="1"/>
      <c r="GSV63" s="2"/>
      <c r="GSW63" s="6"/>
      <c r="GSX63" s="1"/>
      <c r="GTD63" s="2"/>
      <c r="GTE63" s="6"/>
      <c r="GTF63" s="1"/>
      <c r="GTL63" s="2"/>
      <c r="GTM63" s="6"/>
      <c r="GTN63" s="1"/>
      <c r="GTT63" s="2"/>
      <c r="GTU63" s="6"/>
      <c r="GTV63" s="1"/>
      <c r="GUB63" s="2"/>
      <c r="GUC63" s="6"/>
      <c r="GUD63" s="1"/>
      <c r="GUJ63" s="2"/>
      <c r="GUK63" s="6"/>
      <c r="GUL63" s="1"/>
      <c r="GUR63" s="2"/>
      <c r="GUS63" s="6"/>
      <c r="GUT63" s="1"/>
      <c r="GUZ63" s="2"/>
      <c r="GVA63" s="6"/>
      <c r="GVB63" s="1"/>
      <c r="GVH63" s="2"/>
      <c r="GVI63" s="6"/>
      <c r="GVJ63" s="1"/>
      <c r="GVP63" s="2"/>
      <c r="GVQ63" s="6"/>
      <c r="GVR63" s="1"/>
      <c r="GVX63" s="2"/>
      <c r="GVY63" s="6"/>
      <c r="GVZ63" s="1"/>
      <c r="GWF63" s="2"/>
      <c r="GWG63" s="6"/>
      <c r="GWH63" s="1"/>
      <c r="GWN63" s="2"/>
      <c r="GWO63" s="6"/>
      <c r="GWP63" s="1"/>
      <c r="GWV63" s="2"/>
      <c r="GWW63" s="6"/>
      <c r="GWX63" s="1"/>
      <c r="GXD63" s="2"/>
      <c r="GXE63" s="6"/>
      <c r="GXF63" s="1"/>
      <c r="GXL63" s="2"/>
      <c r="GXM63" s="6"/>
      <c r="GXN63" s="1"/>
      <c r="GXT63" s="2"/>
      <c r="GXU63" s="6"/>
      <c r="GXV63" s="1"/>
      <c r="GYB63" s="2"/>
      <c r="GYC63" s="6"/>
      <c r="GYD63" s="1"/>
      <c r="GYJ63" s="2"/>
      <c r="GYK63" s="6"/>
      <c r="GYL63" s="1"/>
      <c r="GYR63" s="2"/>
      <c r="GYS63" s="6"/>
      <c r="GYT63" s="1"/>
      <c r="GYZ63" s="2"/>
      <c r="GZA63" s="6"/>
      <c r="GZB63" s="1"/>
      <c r="GZH63" s="2"/>
      <c r="GZI63" s="6"/>
      <c r="GZJ63" s="1"/>
      <c r="GZP63" s="2"/>
      <c r="GZQ63" s="6"/>
      <c r="GZR63" s="1"/>
      <c r="GZX63" s="2"/>
      <c r="GZY63" s="6"/>
      <c r="GZZ63" s="1"/>
      <c r="HAF63" s="2"/>
      <c r="HAG63" s="6"/>
      <c r="HAH63" s="1"/>
      <c r="HAN63" s="2"/>
      <c r="HAO63" s="6"/>
      <c r="HAP63" s="1"/>
      <c r="HAV63" s="2"/>
      <c r="HAW63" s="6"/>
      <c r="HAX63" s="1"/>
      <c r="HBD63" s="2"/>
      <c r="HBE63" s="6"/>
      <c r="HBF63" s="1"/>
      <c r="HBL63" s="2"/>
      <c r="HBM63" s="6"/>
      <c r="HBN63" s="1"/>
      <c r="HBT63" s="2"/>
      <c r="HBU63" s="6"/>
      <c r="HBV63" s="1"/>
      <c r="HCB63" s="2"/>
      <c r="HCC63" s="6"/>
      <c r="HCD63" s="1"/>
      <c r="HCJ63" s="2"/>
      <c r="HCK63" s="6"/>
      <c r="HCL63" s="1"/>
      <c r="HCR63" s="2"/>
      <c r="HCS63" s="6"/>
      <c r="HCT63" s="1"/>
      <c r="HCZ63" s="2"/>
      <c r="HDA63" s="6"/>
      <c r="HDB63" s="1"/>
      <c r="HDH63" s="2"/>
      <c r="HDI63" s="6"/>
      <c r="HDJ63" s="1"/>
      <c r="HDP63" s="2"/>
      <c r="HDQ63" s="6"/>
      <c r="HDR63" s="1"/>
      <c r="HDX63" s="2"/>
      <c r="HDY63" s="6"/>
      <c r="HDZ63" s="1"/>
      <c r="HEF63" s="2"/>
      <c r="HEG63" s="6"/>
      <c r="HEH63" s="1"/>
      <c r="HEN63" s="2"/>
      <c r="HEO63" s="6"/>
      <c r="HEP63" s="1"/>
      <c r="HEV63" s="2"/>
      <c r="HEW63" s="6"/>
      <c r="HEX63" s="1"/>
      <c r="HFD63" s="2"/>
      <c r="HFE63" s="6"/>
      <c r="HFF63" s="1"/>
      <c r="HFL63" s="2"/>
      <c r="HFM63" s="6"/>
      <c r="HFN63" s="1"/>
      <c r="HFT63" s="2"/>
      <c r="HFU63" s="6"/>
      <c r="HFV63" s="1"/>
      <c r="HGB63" s="2"/>
      <c r="HGC63" s="6"/>
      <c r="HGD63" s="1"/>
      <c r="HGJ63" s="2"/>
      <c r="HGK63" s="6"/>
      <c r="HGL63" s="1"/>
      <c r="HGR63" s="2"/>
      <c r="HGS63" s="6"/>
      <c r="HGT63" s="1"/>
      <c r="HGZ63" s="2"/>
      <c r="HHA63" s="6"/>
      <c r="HHB63" s="1"/>
      <c r="HHH63" s="2"/>
      <c r="HHI63" s="6"/>
      <c r="HHJ63" s="1"/>
      <c r="HHP63" s="2"/>
      <c r="HHQ63" s="6"/>
      <c r="HHR63" s="1"/>
      <c r="HHX63" s="2"/>
      <c r="HHY63" s="6"/>
      <c r="HHZ63" s="1"/>
      <c r="HIF63" s="2"/>
      <c r="HIG63" s="6"/>
      <c r="HIH63" s="1"/>
      <c r="HIN63" s="2"/>
      <c r="HIO63" s="6"/>
      <c r="HIP63" s="1"/>
      <c r="HIV63" s="2"/>
      <c r="HIW63" s="6"/>
      <c r="HIX63" s="1"/>
      <c r="HJD63" s="2"/>
      <c r="HJE63" s="6"/>
      <c r="HJF63" s="1"/>
      <c r="HJL63" s="2"/>
      <c r="HJM63" s="6"/>
      <c r="HJN63" s="1"/>
      <c r="HJT63" s="2"/>
      <c r="HJU63" s="6"/>
      <c r="HJV63" s="1"/>
      <c r="HKB63" s="2"/>
      <c r="HKC63" s="6"/>
      <c r="HKD63" s="1"/>
      <c r="HKJ63" s="2"/>
      <c r="HKK63" s="6"/>
      <c r="HKL63" s="1"/>
      <c r="HKR63" s="2"/>
      <c r="HKS63" s="6"/>
      <c r="HKT63" s="1"/>
      <c r="HKZ63" s="2"/>
      <c r="HLA63" s="6"/>
      <c r="HLB63" s="1"/>
      <c r="HLH63" s="2"/>
      <c r="HLI63" s="6"/>
      <c r="HLJ63" s="1"/>
      <c r="HLP63" s="2"/>
      <c r="HLQ63" s="6"/>
      <c r="HLR63" s="1"/>
      <c r="HLX63" s="2"/>
      <c r="HLY63" s="6"/>
      <c r="HLZ63" s="1"/>
      <c r="HMF63" s="2"/>
      <c r="HMG63" s="6"/>
      <c r="HMH63" s="1"/>
      <c r="HMN63" s="2"/>
      <c r="HMO63" s="6"/>
      <c r="HMP63" s="1"/>
      <c r="HMV63" s="2"/>
      <c r="HMW63" s="6"/>
      <c r="HMX63" s="1"/>
      <c r="HND63" s="2"/>
      <c r="HNE63" s="6"/>
      <c r="HNF63" s="1"/>
      <c r="HNL63" s="2"/>
      <c r="HNM63" s="6"/>
      <c r="HNN63" s="1"/>
      <c r="HNT63" s="2"/>
      <c r="HNU63" s="6"/>
      <c r="HNV63" s="1"/>
      <c r="HOB63" s="2"/>
      <c r="HOC63" s="6"/>
      <c r="HOD63" s="1"/>
      <c r="HOJ63" s="2"/>
      <c r="HOK63" s="6"/>
      <c r="HOL63" s="1"/>
      <c r="HOR63" s="2"/>
      <c r="HOS63" s="6"/>
      <c r="HOT63" s="1"/>
      <c r="HOZ63" s="2"/>
      <c r="HPA63" s="6"/>
      <c r="HPB63" s="1"/>
      <c r="HPH63" s="2"/>
      <c r="HPI63" s="6"/>
      <c r="HPJ63" s="1"/>
      <c r="HPP63" s="2"/>
      <c r="HPQ63" s="6"/>
      <c r="HPR63" s="1"/>
      <c r="HPX63" s="2"/>
      <c r="HPY63" s="6"/>
      <c r="HPZ63" s="1"/>
      <c r="HQF63" s="2"/>
      <c r="HQG63" s="6"/>
      <c r="HQH63" s="1"/>
      <c r="HQN63" s="2"/>
      <c r="HQO63" s="6"/>
      <c r="HQP63" s="1"/>
      <c r="HQV63" s="2"/>
      <c r="HQW63" s="6"/>
      <c r="HQX63" s="1"/>
      <c r="HRD63" s="2"/>
      <c r="HRE63" s="6"/>
      <c r="HRF63" s="1"/>
      <c r="HRL63" s="2"/>
      <c r="HRM63" s="6"/>
      <c r="HRN63" s="1"/>
      <c r="HRT63" s="2"/>
      <c r="HRU63" s="6"/>
      <c r="HRV63" s="1"/>
      <c r="HSB63" s="2"/>
      <c r="HSC63" s="6"/>
      <c r="HSD63" s="1"/>
      <c r="HSJ63" s="2"/>
      <c r="HSK63" s="6"/>
      <c r="HSL63" s="1"/>
      <c r="HSR63" s="2"/>
      <c r="HSS63" s="6"/>
      <c r="HST63" s="1"/>
      <c r="HSZ63" s="2"/>
      <c r="HTA63" s="6"/>
      <c r="HTB63" s="1"/>
      <c r="HTH63" s="2"/>
      <c r="HTI63" s="6"/>
      <c r="HTJ63" s="1"/>
      <c r="HTP63" s="2"/>
      <c r="HTQ63" s="6"/>
      <c r="HTR63" s="1"/>
      <c r="HTX63" s="2"/>
      <c r="HTY63" s="6"/>
      <c r="HTZ63" s="1"/>
      <c r="HUF63" s="2"/>
      <c r="HUG63" s="6"/>
      <c r="HUH63" s="1"/>
      <c r="HUN63" s="2"/>
      <c r="HUO63" s="6"/>
      <c r="HUP63" s="1"/>
      <c r="HUV63" s="2"/>
      <c r="HUW63" s="6"/>
      <c r="HUX63" s="1"/>
      <c r="HVD63" s="2"/>
      <c r="HVE63" s="6"/>
      <c r="HVF63" s="1"/>
      <c r="HVL63" s="2"/>
      <c r="HVM63" s="6"/>
      <c r="HVN63" s="1"/>
      <c r="HVT63" s="2"/>
      <c r="HVU63" s="6"/>
      <c r="HVV63" s="1"/>
      <c r="HWB63" s="2"/>
      <c r="HWC63" s="6"/>
      <c r="HWD63" s="1"/>
      <c r="HWJ63" s="2"/>
      <c r="HWK63" s="6"/>
      <c r="HWL63" s="1"/>
      <c r="HWR63" s="2"/>
      <c r="HWS63" s="6"/>
      <c r="HWT63" s="1"/>
      <c r="HWZ63" s="2"/>
      <c r="HXA63" s="6"/>
      <c r="HXB63" s="1"/>
      <c r="HXH63" s="2"/>
      <c r="HXI63" s="6"/>
      <c r="HXJ63" s="1"/>
      <c r="HXP63" s="2"/>
      <c r="HXQ63" s="6"/>
      <c r="HXR63" s="1"/>
      <c r="HXX63" s="2"/>
      <c r="HXY63" s="6"/>
      <c r="HXZ63" s="1"/>
      <c r="HYF63" s="2"/>
      <c r="HYG63" s="6"/>
      <c r="HYH63" s="1"/>
      <c r="HYN63" s="2"/>
      <c r="HYO63" s="6"/>
      <c r="HYP63" s="1"/>
      <c r="HYV63" s="2"/>
      <c r="HYW63" s="6"/>
      <c r="HYX63" s="1"/>
      <c r="HZD63" s="2"/>
      <c r="HZE63" s="6"/>
      <c r="HZF63" s="1"/>
      <c r="HZL63" s="2"/>
      <c r="HZM63" s="6"/>
      <c r="HZN63" s="1"/>
      <c r="HZT63" s="2"/>
      <c r="HZU63" s="6"/>
      <c r="HZV63" s="1"/>
      <c r="IAB63" s="2"/>
      <c r="IAC63" s="6"/>
      <c r="IAD63" s="1"/>
      <c r="IAJ63" s="2"/>
      <c r="IAK63" s="6"/>
      <c r="IAL63" s="1"/>
      <c r="IAR63" s="2"/>
      <c r="IAS63" s="6"/>
      <c r="IAT63" s="1"/>
      <c r="IAZ63" s="2"/>
      <c r="IBA63" s="6"/>
      <c r="IBB63" s="1"/>
      <c r="IBH63" s="2"/>
      <c r="IBI63" s="6"/>
      <c r="IBJ63" s="1"/>
      <c r="IBP63" s="2"/>
      <c r="IBQ63" s="6"/>
      <c r="IBR63" s="1"/>
      <c r="IBX63" s="2"/>
      <c r="IBY63" s="6"/>
      <c r="IBZ63" s="1"/>
      <c r="ICF63" s="2"/>
      <c r="ICG63" s="6"/>
      <c r="ICH63" s="1"/>
      <c r="ICN63" s="2"/>
      <c r="ICO63" s="6"/>
      <c r="ICP63" s="1"/>
      <c r="ICV63" s="2"/>
      <c r="ICW63" s="6"/>
      <c r="ICX63" s="1"/>
      <c r="IDD63" s="2"/>
      <c r="IDE63" s="6"/>
      <c r="IDF63" s="1"/>
      <c r="IDL63" s="2"/>
      <c r="IDM63" s="6"/>
      <c r="IDN63" s="1"/>
      <c r="IDT63" s="2"/>
      <c r="IDU63" s="6"/>
      <c r="IDV63" s="1"/>
      <c r="IEB63" s="2"/>
      <c r="IEC63" s="6"/>
      <c r="IED63" s="1"/>
      <c r="IEJ63" s="2"/>
      <c r="IEK63" s="6"/>
      <c r="IEL63" s="1"/>
      <c r="IER63" s="2"/>
      <c r="IES63" s="6"/>
      <c r="IET63" s="1"/>
      <c r="IEZ63" s="2"/>
      <c r="IFA63" s="6"/>
      <c r="IFB63" s="1"/>
      <c r="IFH63" s="2"/>
      <c r="IFI63" s="6"/>
      <c r="IFJ63" s="1"/>
      <c r="IFP63" s="2"/>
      <c r="IFQ63" s="6"/>
      <c r="IFR63" s="1"/>
      <c r="IFX63" s="2"/>
      <c r="IFY63" s="6"/>
      <c r="IFZ63" s="1"/>
      <c r="IGF63" s="2"/>
      <c r="IGG63" s="6"/>
      <c r="IGH63" s="1"/>
      <c r="IGN63" s="2"/>
      <c r="IGO63" s="6"/>
      <c r="IGP63" s="1"/>
      <c r="IGV63" s="2"/>
      <c r="IGW63" s="6"/>
      <c r="IGX63" s="1"/>
      <c r="IHD63" s="2"/>
      <c r="IHE63" s="6"/>
      <c r="IHF63" s="1"/>
      <c r="IHL63" s="2"/>
      <c r="IHM63" s="6"/>
      <c r="IHN63" s="1"/>
      <c r="IHT63" s="2"/>
      <c r="IHU63" s="6"/>
      <c r="IHV63" s="1"/>
      <c r="IIB63" s="2"/>
      <c r="IIC63" s="6"/>
      <c r="IID63" s="1"/>
      <c r="IIJ63" s="2"/>
      <c r="IIK63" s="6"/>
      <c r="IIL63" s="1"/>
      <c r="IIR63" s="2"/>
      <c r="IIS63" s="6"/>
      <c r="IIT63" s="1"/>
      <c r="IIZ63" s="2"/>
      <c r="IJA63" s="6"/>
      <c r="IJB63" s="1"/>
      <c r="IJH63" s="2"/>
      <c r="IJI63" s="6"/>
      <c r="IJJ63" s="1"/>
      <c r="IJP63" s="2"/>
      <c r="IJQ63" s="6"/>
      <c r="IJR63" s="1"/>
      <c r="IJX63" s="2"/>
      <c r="IJY63" s="6"/>
      <c r="IJZ63" s="1"/>
      <c r="IKF63" s="2"/>
      <c r="IKG63" s="6"/>
      <c r="IKH63" s="1"/>
      <c r="IKN63" s="2"/>
      <c r="IKO63" s="6"/>
      <c r="IKP63" s="1"/>
      <c r="IKV63" s="2"/>
      <c r="IKW63" s="6"/>
      <c r="IKX63" s="1"/>
      <c r="ILD63" s="2"/>
      <c r="ILE63" s="6"/>
      <c r="ILF63" s="1"/>
      <c r="ILL63" s="2"/>
      <c r="ILM63" s="6"/>
      <c r="ILN63" s="1"/>
      <c r="ILT63" s="2"/>
      <c r="ILU63" s="6"/>
      <c r="ILV63" s="1"/>
      <c r="IMB63" s="2"/>
      <c r="IMC63" s="6"/>
      <c r="IMD63" s="1"/>
      <c r="IMJ63" s="2"/>
      <c r="IMK63" s="6"/>
      <c r="IML63" s="1"/>
      <c r="IMR63" s="2"/>
      <c r="IMS63" s="6"/>
      <c r="IMT63" s="1"/>
      <c r="IMZ63" s="2"/>
      <c r="INA63" s="6"/>
      <c r="INB63" s="1"/>
      <c r="INH63" s="2"/>
      <c r="INI63" s="6"/>
      <c r="INJ63" s="1"/>
      <c r="INP63" s="2"/>
      <c r="INQ63" s="6"/>
      <c r="INR63" s="1"/>
      <c r="INX63" s="2"/>
      <c r="INY63" s="6"/>
      <c r="INZ63" s="1"/>
      <c r="IOF63" s="2"/>
      <c r="IOG63" s="6"/>
      <c r="IOH63" s="1"/>
      <c r="ION63" s="2"/>
      <c r="IOO63" s="6"/>
      <c r="IOP63" s="1"/>
      <c r="IOV63" s="2"/>
      <c r="IOW63" s="6"/>
      <c r="IOX63" s="1"/>
      <c r="IPD63" s="2"/>
      <c r="IPE63" s="6"/>
      <c r="IPF63" s="1"/>
      <c r="IPL63" s="2"/>
      <c r="IPM63" s="6"/>
      <c r="IPN63" s="1"/>
      <c r="IPT63" s="2"/>
      <c r="IPU63" s="6"/>
      <c r="IPV63" s="1"/>
      <c r="IQB63" s="2"/>
      <c r="IQC63" s="6"/>
      <c r="IQD63" s="1"/>
      <c r="IQJ63" s="2"/>
      <c r="IQK63" s="6"/>
      <c r="IQL63" s="1"/>
      <c r="IQR63" s="2"/>
      <c r="IQS63" s="6"/>
      <c r="IQT63" s="1"/>
      <c r="IQZ63" s="2"/>
      <c r="IRA63" s="6"/>
      <c r="IRB63" s="1"/>
      <c r="IRH63" s="2"/>
      <c r="IRI63" s="6"/>
      <c r="IRJ63" s="1"/>
      <c r="IRP63" s="2"/>
      <c r="IRQ63" s="6"/>
      <c r="IRR63" s="1"/>
      <c r="IRX63" s="2"/>
      <c r="IRY63" s="6"/>
      <c r="IRZ63" s="1"/>
      <c r="ISF63" s="2"/>
      <c r="ISG63" s="6"/>
      <c r="ISH63" s="1"/>
      <c r="ISN63" s="2"/>
      <c r="ISO63" s="6"/>
      <c r="ISP63" s="1"/>
      <c r="ISV63" s="2"/>
      <c r="ISW63" s="6"/>
      <c r="ISX63" s="1"/>
      <c r="ITD63" s="2"/>
      <c r="ITE63" s="6"/>
      <c r="ITF63" s="1"/>
      <c r="ITL63" s="2"/>
      <c r="ITM63" s="6"/>
      <c r="ITN63" s="1"/>
      <c r="ITT63" s="2"/>
      <c r="ITU63" s="6"/>
      <c r="ITV63" s="1"/>
      <c r="IUB63" s="2"/>
      <c r="IUC63" s="6"/>
      <c r="IUD63" s="1"/>
      <c r="IUJ63" s="2"/>
      <c r="IUK63" s="6"/>
      <c r="IUL63" s="1"/>
      <c r="IUR63" s="2"/>
      <c r="IUS63" s="6"/>
      <c r="IUT63" s="1"/>
      <c r="IUZ63" s="2"/>
      <c r="IVA63" s="6"/>
      <c r="IVB63" s="1"/>
      <c r="IVH63" s="2"/>
      <c r="IVI63" s="6"/>
      <c r="IVJ63" s="1"/>
      <c r="IVP63" s="2"/>
      <c r="IVQ63" s="6"/>
      <c r="IVR63" s="1"/>
      <c r="IVX63" s="2"/>
      <c r="IVY63" s="6"/>
      <c r="IVZ63" s="1"/>
      <c r="IWF63" s="2"/>
      <c r="IWG63" s="6"/>
      <c r="IWH63" s="1"/>
      <c r="IWN63" s="2"/>
      <c r="IWO63" s="6"/>
      <c r="IWP63" s="1"/>
      <c r="IWV63" s="2"/>
      <c r="IWW63" s="6"/>
      <c r="IWX63" s="1"/>
      <c r="IXD63" s="2"/>
      <c r="IXE63" s="6"/>
      <c r="IXF63" s="1"/>
      <c r="IXL63" s="2"/>
      <c r="IXM63" s="6"/>
      <c r="IXN63" s="1"/>
      <c r="IXT63" s="2"/>
      <c r="IXU63" s="6"/>
      <c r="IXV63" s="1"/>
      <c r="IYB63" s="2"/>
      <c r="IYC63" s="6"/>
      <c r="IYD63" s="1"/>
      <c r="IYJ63" s="2"/>
      <c r="IYK63" s="6"/>
      <c r="IYL63" s="1"/>
      <c r="IYR63" s="2"/>
      <c r="IYS63" s="6"/>
      <c r="IYT63" s="1"/>
      <c r="IYZ63" s="2"/>
      <c r="IZA63" s="6"/>
      <c r="IZB63" s="1"/>
      <c r="IZH63" s="2"/>
      <c r="IZI63" s="6"/>
      <c r="IZJ63" s="1"/>
      <c r="IZP63" s="2"/>
      <c r="IZQ63" s="6"/>
      <c r="IZR63" s="1"/>
      <c r="IZX63" s="2"/>
      <c r="IZY63" s="6"/>
      <c r="IZZ63" s="1"/>
      <c r="JAF63" s="2"/>
      <c r="JAG63" s="6"/>
      <c r="JAH63" s="1"/>
      <c r="JAN63" s="2"/>
      <c r="JAO63" s="6"/>
      <c r="JAP63" s="1"/>
      <c r="JAV63" s="2"/>
      <c r="JAW63" s="6"/>
      <c r="JAX63" s="1"/>
      <c r="JBD63" s="2"/>
      <c r="JBE63" s="6"/>
      <c r="JBF63" s="1"/>
      <c r="JBL63" s="2"/>
      <c r="JBM63" s="6"/>
      <c r="JBN63" s="1"/>
      <c r="JBT63" s="2"/>
      <c r="JBU63" s="6"/>
      <c r="JBV63" s="1"/>
      <c r="JCB63" s="2"/>
      <c r="JCC63" s="6"/>
      <c r="JCD63" s="1"/>
      <c r="JCJ63" s="2"/>
      <c r="JCK63" s="6"/>
      <c r="JCL63" s="1"/>
      <c r="JCR63" s="2"/>
      <c r="JCS63" s="6"/>
      <c r="JCT63" s="1"/>
      <c r="JCZ63" s="2"/>
      <c r="JDA63" s="6"/>
      <c r="JDB63" s="1"/>
      <c r="JDH63" s="2"/>
      <c r="JDI63" s="6"/>
      <c r="JDJ63" s="1"/>
      <c r="JDP63" s="2"/>
      <c r="JDQ63" s="6"/>
      <c r="JDR63" s="1"/>
      <c r="JDX63" s="2"/>
      <c r="JDY63" s="6"/>
      <c r="JDZ63" s="1"/>
      <c r="JEF63" s="2"/>
      <c r="JEG63" s="6"/>
      <c r="JEH63" s="1"/>
      <c r="JEN63" s="2"/>
      <c r="JEO63" s="6"/>
      <c r="JEP63" s="1"/>
      <c r="JEV63" s="2"/>
      <c r="JEW63" s="6"/>
      <c r="JEX63" s="1"/>
      <c r="JFD63" s="2"/>
      <c r="JFE63" s="6"/>
      <c r="JFF63" s="1"/>
      <c r="JFL63" s="2"/>
      <c r="JFM63" s="6"/>
      <c r="JFN63" s="1"/>
      <c r="JFT63" s="2"/>
      <c r="JFU63" s="6"/>
      <c r="JFV63" s="1"/>
      <c r="JGB63" s="2"/>
      <c r="JGC63" s="6"/>
      <c r="JGD63" s="1"/>
      <c r="JGJ63" s="2"/>
      <c r="JGK63" s="6"/>
      <c r="JGL63" s="1"/>
      <c r="JGR63" s="2"/>
      <c r="JGS63" s="6"/>
      <c r="JGT63" s="1"/>
      <c r="JGZ63" s="2"/>
      <c r="JHA63" s="6"/>
      <c r="JHB63" s="1"/>
      <c r="JHH63" s="2"/>
      <c r="JHI63" s="6"/>
      <c r="JHJ63" s="1"/>
      <c r="JHP63" s="2"/>
      <c r="JHQ63" s="6"/>
      <c r="JHR63" s="1"/>
      <c r="JHX63" s="2"/>
      <c r="JHY63" s="6"/>
      <c r="JHZ63" s="1"/>
      <c r="JIF63" s="2"/>
      <c r="JIG63" s="6"/>
      <c r="JIH63" s="1"/>
      <c r="JIN63" s="2"/>
      <c r="JIO63" s="6"/>
      <c r="JIP63" s="1"/>
      <c r="JIV63" s="2"/>
      <c r="JIW63" s="6"/>
      <c r="JIX63" s="1"/>
      <c r="JJD63" s="2"/>
      <c r="JJE63" s="6"/>
      <c r="JJF63" s="1"/>
      <c r="JJL63" s="2"/>
      <c r="JJM63" s="6"/>
      <c r="JJN63" s="1"/>
      <c r="JJT63" s="2"/>
      <c r="JJU63" s="6"/>
      <c r="JJV63" s="1"/>
      <c r="JKB63" s="2"/>
      <c r="JKC63" s="6"/>
      <c r="JKD63" s="1"/>
      <c r="JKJ63" s="2"/>
      <c r="JKK63" s="6"/>
      <c r="JKL63" s="1"/>
      <c r="JKR63" s="2"/>
      <c r="JKS63" s="6"/>
      <c r="JKT63" s="1"/>
      <c r="JKZ63" s="2"/>
      <c r="JLA63" s="6"/>
      <c r="JLB63" s="1"/>
      <c r="JLH63" s="2"/>
      <c r="JLI63" s="6"/>
      <c r="JLJ63" s="1"/>
      <c r="JLP63" s="2"/>
      <c r="JLQ63" s="6"/>
      <c r="JLR63" s="1"/>
      <c r="JLX63" s="2"/>
      <c r="JLY63" s="6"/>
      <c r="JLZ63" s="1"/>
      <c r="JMF63" s="2"/>
      <c r="JMG63" s="6"/>
      <c r="JMH63" s="1"/>
      <c r="JMN63" s="2"/>
      <c r="JMO63" s="6"/>
      <c r="JMP63" s="1"/>
      <c r="JMV63" s="2"/>
      <c r="JMW63" s="6"/>
      <c r="JMX63" s="1"/>
      <c r="JND63" s="2"/>
      <c r="JNE63" s="6"/>
      <c r="JNF63" s="1"/>
      <c r="JNL63" s="2"/>
      <c r="JNM63" s="6"/>
      <c r="JNN63" s="1"/>
      <c r="JNT63" s="2"/>
      <c r="JNU63" s="6"/>
      <c r="JNV63" s="1"/>
      <c r="JOB63" s="2"/>
      <c r="JOC63" s="6"/>
      <c r="JOD63" s="1"/>
      <c r="JOJ63" s="2"/>
      <c r="JOK63" s="6"/>
      <c r="JOL63" s="1"/>
      <c r="JOR63" s="2"/>
      <c r="JOS63" s="6"/>
      <c r="JOT63" s="1"/>
      <c r="JOZ63" s="2"/>
      <c r="JPA63" s="6"/>
      <c r="JPB63" s="1"/>
      <c r="JPH63" s="2"/>
      <c r="JPI63" s="6"/>
      <c r="JPJ63" s="1"/>
      <c r="JPP63" s="2"/>
      <c r="JPQ63" s="6"/>
      <c r="JPR63" s="1"/>
      <c r="JPX63" s="2"/>
      <c r="JPY63" s="6"/>
      <c r="JPZ63" s="1"/>
      <c r="JQF63" s="2"/>
      <c r="JQG63" s="6"/>
      <c r="JQH63" s="1"/>
      <c r="JQN63" s="2"/>
      <c r="JQO63" s="6"/>
      <c r="JQP63" s="1"/>
      <c r="JQV63" s="2"/>
      <c r="JQW63" s="6"/>
      <c r="JQX63" s="1"/>
      <c r="JRD63" s="2"/>
      <c r="JRE63" s="6"/>
      <c r="JRF63" s="1"/>
      <c r="JRL63" s="2"/>
      <c r="JRM63" s="6"/>
      <c r="JRN63" s="1"/>
      <c r="JRT63" s="2"/>
      <c r="JRU63" s="6"/>
      <c r="JRV63" s="1"/>
      <c r="JSB63" s="2"/>
      <c r="JSC63" s="6"/>
      <c r="JSD63" s="1"/>
      <c r="JSJ63" s="2"/>
      <c r="JSK63" s="6"/>
      <c r="JSL63" s="1"/>
      <c r="JSR63" s="2"/>
      <c r="JSS63" s="6"/>
      <c r="JST63" s="1"/>
      <c r="JSZ63" s="2"/>
      <c r="JTA63" s="6"/>
      <c r="JTB63" s="1"/>
      <c r="JTH63" s="2"/>
      <c r="JTI63" s="6"/>
      <c r="JTJ63" s="1"/>
      <c r="JTP63" s="2"/>
      <c r="JTQ63" s="6"/>
      <c r="JTR63" s="1"/>
      <c r="JTX63" s="2"/>
      <c r="JTY63" s="6"/>
      <c r="JTZ63" s="1"/>
      <c r="JUF63" s="2"/>
      <c r="JUG63" s="6"/>
      <c r="JUH63" s="1"/>
      <c r="JUN63" s="2"/>
      <c r="JUO63" s="6"/>
      <c r="JUP63" s="1"/>
      <c r="JUV63" s="2"/>
      <c r="JUW63" s="6"/>
      <c r="JUX63" s="1"/>
      <c r="JVD63" s="2"/>
      <c r="JVE63" s="6"/>
      <c r="JVF63" s="1"/>
      <c r="JVL63" s="2"/>
      <c r="JVM63" s="6"/>
      <c r="JVN63" s="1"/>
      <c r="JVT63" s="2"/>
      <c r="JVU63" s="6"/>
      <c r="JVV63" s="1"/>
      <c r="JWB63" s="2"/>
      <c r="JWC63" s="6"/>
      <c r="JWD63" s="1"/>
      <c r="JWJ63" s="2"/>
      <c r="JWK63" s="6"/>
      <c r="JWL63" s="1"/>
      <c r="JWR63" s="2"/>
      <c r="JWS63" s="6"/>
      <c r="JWT63" s="1"/>
      <c r="JWZ63" s="2"/>
      <c r="JXA63" s="6"/>
      <c r="JXB63" s="1"/>
      <c r="JXH63" s="2"/>
      <c r="JXI63" s="6"/>
      <c r="JXJ63" s="1"/>
      <c r="JXP63" s="2"/>
      <c r="JXQ63" s="6"/>
      <c r="JXR63" s="1"/>
      <c r="JXX63" s="2"/>
      <c r="JXY63" s="6"/>
      <c r="JXZ63" s="1"/>
      <c r="JYF63" s="2"/>
      <c r="JYG63" s="6"/>
      <c r="JYH63" s="1"/>
      <c r="JYN63" s="2"/>
      <c r="JYO63" s="6"/>
      <c r="JYP63" s="1"/>
      <c r="JYV63" s="2"/>
      <c r="JYW63" s="6"/>
      <c r="JYX63" s="1"/>
      <c r="JZD63" s="2"/>
      <c r="JZE63" s="6"/>
      <c r="JZF63" s="1"/>
      <c r="JZL63" s="2"/>
      <c r="JZM63" s="6"/>
      <c r="JZN63" s="1"/>
      <c r="JZT63" s="2"/>
      <c r="JZU63" s="6"/>
      <c r="JZV63" s="1"/>
      <c r="KAB63" s="2"/>
      <c r="KAC63" s="6"/>
      <c r="KAD63" s="1"/>
      <c r="KAJ63" s="2"/>
      <c r="KAK63" s="6"/>
      <c r="KAL63" s="1"/>
      <c r="KAR63" s="2"/>
      <c r="KAS63" s="6"/>
      <c r="KAT63" s="1"/>
      <c r="KAZ63" s="2"/>
      <c r="KBA63" s="6"/>
      <c r="KBB63" s="1"/>
      <c r="KBH63" s="2"/>
      <c r="KBI63" s="6"/>
      <c r="KBJ63" s="1"/>
      <c r="KBP63" s="2"/>
      <c r="KBQ63" s="6"/>
      <c r="KBR63" s="1"/>
      <c r="KBX63" s="2"/>
      <c r="KBY63" s="6"/>
      <c r="KBZ63" s="1"/>
      <c r="KCF63" s="2"/>
      <c r="KCG63" s="6"/>
      <c r="KCH63" s="1"/>
      <c r="KCN63" s="2"/>
      <c r="KCO63" s="6"/>
      <c r="KCP63" s="1"/>
      <c r="KCV63" s="2"/>
      <c r="KCW63" s="6"/>
      <c r="KCX63" s="1"/>
      <c r="KDD63" s="2"/>
      <c r="KDE63" s="6"/>
      <c r="KDF63" s="1"/>
      <c r="KDL63" s="2"/>
      <c r="KDM63" s="6"/>
      <c r="KDN63" s="1"/>
      <c r="KDT63" s="2"/>
      <c r="KDU63" s="6"/>
      <c r="KDV63" s="1"/>
      <c r="KEB63" s="2"/>
      <c r="KEC63" s="6"/>
      <c r="KED63" s="1"/>
      <c r="KEJ63" s="2"/>
      <c r="KEK63" s="6"/>
      <c r="KEL63" s="1"/>
      <c r="KER63" s="2"/>
      <c r="KES63" s="6"/>
      <c r="KET63" s="1"/>
      <c r="KEZ63" s="2"/>
      <c r="KFA63" s="6"/>
      <c r="KFB63" s="1"/>
      <c r="KFH63" s="2"/>
      <c r="KFI63" s="6"/>
      <c r="KFJ63" s="1"/>
      <c r="KFP63" s="2"/>
      <c r="KFQ63" s="6"/>
      <c r="KFR63" s="1"/>
      <c r="KFX63" s="2"/>
      <c r="KFY63" s="6"/>
      <c r="KFZ63" s="1"/>
      <c r="KGF63" s="2"/>
      <c r="KGG63" s="6"/>
      <c r="KGH63" s="1"/>
      <c r="KGN63" s="2"/>
      <c r="KGO63" s="6"/>
      <c r="KGP63" s="1"/>
      <c r="KGV63" s="2"/>
      <c r="KGW63" s="6"/>
      <c r="KGX63" s="1"/>
      <c r="KHD63" s="2"/>
      <c r="KHE63" s="6"/>
      <c r="KHF63" s="1"/>
      <c r="KHL63" s="2"/>
      <c r="KHM63" s="6"/>
      <c r="KHN63" s="1"/>
      <c r="KHT63" s="2"/>
      <c r="KHU63" s="6"/>
      <c r="KHV63" s="1"/>
      <c r="KIB63" s="2"/>
      <c r="KIC63" s="6"/>
      <c r="KID63" s="1"/>
      <c r="KIJ63" s="2"/>
      <c r="KIK63" s="6"/>
      <c r="KIL63" s="1"/>
      <c r="KIR63" s="2"/>
      <c r="KIS63" s="6"/>
      <c r="KIT63" s="1"/>
      <c r="KIZ63" s="2"/>
      <c r="KJA63" s="6"/>
      <c r="KJB63" s="1"/>
      <c r="KJH63" s="2"/>
      <c r="KJI63" s="6"/>
      <c r="KJJ63" s="1"/>
      <c r="KJP63" s="2"/>
      <c r="KJQ63" s="6"/>
      <c r="KJR63" s="1"/>
      <c r="KJX63" s="2"/>
      <c r="KJY63" s="6"/>
      <c r="KJZ63" s="1"/>
      <c r="KKF63" s="2"/>
      <c r="KKG63" s="6"/>
      <c r="KKH63" s="1"/>
      <c r="KKN63" s="2"/>
      <c r="KKO63" s="6"/>
      <c r="KKP63" s="1"/>
      <c r="KKV63" s="2"/>
      <c r="KKW63" s="6"/>
      <c r="KKX63" s="1"/>
      <c r="KLD63" s="2"/>
      <c r="KLE63" s="6"/>
      <c r="KLF63" s="1"/>
      <c r="KLL63" s="2"/>
      <c r="KLM63" s="6"/>
      <c r="KLN63" s="1"/>
      <c r="KLT63" s="2"/>
      <c r="KLU63" s="6"/>
      <c r="KLV63" s="1"/>
      <c r="KMB63" s="2"/>
      <c r="KMC63" s="6"/>
      <c r="KMD63" s="1"/>
      <c r="KMJ63" s="2"/>
      <c r="KMK63" s="6"/>
      <c r="KML63" s="1"/>
      <c r="KMR63" s="2"/>
      <c r="KMS63" s="6"/>
      <c r="KMT63" s="1"/>
      <c r="KMZ63" s="2"/>
      <c r="KNA63" s="6"/>
      <c r="KNB63" s="1"/>
      <c r="KNH63" s="2"/>
      <c r="KNI63" s="6"/>
      <c r="KNJ63" s="1"/>
      <c r="KNP63" s="2"/>
      <c r="KNQ63" s="6"/>
      <c r="KNR63" s="1"/>
      <c r="KNX63" s="2"/>
      <c r="KNY63" s="6"/>
      <c r="KNZ63" s="1"/>
      <c r="KOF63" s="2"/>
      <c r="KOG63" s="6"/>
      <c r="KOH63" s="1"/>
      <c r="KON63" s="2"/>
      <c r="KOO63" s="6"/>
      <c r="KOP63" s="1"/>
      <c r="KOV63" s="2"/>
      <c r="KOW63" s="6"/>
      <c r="KOX63" s="1"/>
      <c r="KPD63" s="2"/>
      <c r="KPE63" s="6"/>
      <c r="KPF63" s="1"/>
      <c r="KPL63" s="2"/>
      <c r="KPM63" s="6"/>
      <c r="KPN63" s="1"/>
      <c r="KPT63" s="2"/>
      <c r="KPU63" s="6"/>
      <c r="KPV63" s="1"/>
      <c r="KQB63" s="2"/>
      <c r="KQC63" s="6"/>
      <c r="KQD63" s="1"/>
      <c r="KQJ63" s="2"/>
      <c r="KQK63" s="6"/>
      <c r="KQL63" s="1"/>
      <c r="KQR63" s="2"/>
      <c r="KQS63" s="6"/>
      <c r="KQT63" s="1"/>
      <c r="KQZ63" s="2"/>
      <c r="KRA63" s="6"/>
      <c r="KRB63" s="1"/>
      <c r="KRH63" s="2"/>
      <c r="KRI63" s="6"/>
      <c r="KRJ63" s="1"/>
      <c r="KRP63" s="2"/>
      <c r="KRQ63" s="6"/>
      <c r="KRR63" s="1"/>
      <c r="KRX63" s="2"/>
      <c r="KRY63" s="6"/>
      <c r="KRZ63" s="1"/>
      <c r="KSF63" s="2"/>
      <c r="KSG63" s="6"/>
      <c r="KSH63" s="1"/>
      <c r="KSN63" s="2"/>
      <c r="KSO63" s="6"/>
      <c r="KSP63" s="1"/>
      <c r="KSV63" s="2"/>
      <c r="KSW63" s="6"/>
      <c r="KSX63" s="1"/>
      <c r="KTD63" s="2"/>
      <c r="KTE63" s="6"/>
      <c r="KTF63" s="1"/>
      <c r="KTL63" s="2"/>
      <c r="KTM63" s="6"/>
      <c r="KTN63" s="1"/>
      <c r="KTT63" s="2"/>
      <c r="KTU63" s="6"/>
      <c r="KTV63" s="1"/>
      <c r="KUB63" s="2"/>
      <c r="KUC63" s="6"/>
      <c r="KUD63" s="1"/>
      <c r="KUJ63" s="2"/>
      <c r="KUK63" s="6"/>
      <c r="KUL63" s="1"/>
      <c r="KUR63" s="2"/>
      <c r="KUS63" s="6"/>
      <c r="KUT63" s="1"/>
      <c r="KUZ63" s="2"/>
      <c r="KVA63" s="6"/>
      <c r="KVB63" s="1"/>
      <c r="KVH63" s="2"/>
      <c r="KVI63" s="6"/>
      <c r="KVJ63" s="1"/>
      <c r="KVP63" s="2"/>
      <c r="KVQ63" s="6"/>
      <c r="KVR63" s="1"/>
      <c r="KVX63" s="2"/>
      <c r="KVY63" s="6"/>
      <c r="KVZ63" s="1"/>
      <c r="KWF63" s="2"/>
      <c r="KWG63" s="6"/>
      <c r="KWH63" s="1"/>
      <c r="KWN63" s="2"/>
      <c r="KWO63" s="6"/>
      <c r="KWP63" s="1"/>
      <c r="KWV63" s="2"/>
      <c r="KWW63" s="6"/>
      <c r="KWX63" s="1"/>
      <c r="KXD63" s="2"/>
      <c r="KXE63" s="6"/>
      <c r="KXF63" s="1"/>
      <c r="KXL63" s="2"/>
      <c r="KXM63" s="6"/>
      <c r="KXN63" s="1"/>
      <c r="KXT63" s="2"/>
      <c r="KXU63" s="6"/>
      <c r="KXV63" s="1"/>
      <c r="KYB63" s="2"/>
      <c r="KYC63" s="6"/>
      <c r="KYD63" s="1"/>
      <c r="KYJ63" s="2"/>
      <c r="KYK63" s="6"/>
      <c r="KYL63" s="1"/>
      <c r="KYR63" s="2"/>
      <c r="KYS63" s="6"/>
      <c r="KYT63" s="1"/>
      <c r="KYZ63" s="2"/>
      <c r="KZA63" s="6"/>
      <c r="KZB63" s="1"/>
      <c r="KZH63" s="2"/>
      <c r="KZI63" s="6"/>
      <c r="KZJ63" s="1"/>
      <c r="KZP63" s="2"/>
      <c r="KZQ63" s="6"/>
      <c r="KZR63" s="1"/>
      <c r="KZX63" s="2"/>
      <c r="KZY63" s="6"/>
      <c r="KZZ63" s="1"/>
      <c r="LAF63" s="2"/>
      <c r="LAG63" s="6"/>
      <c r="LAH63" s="1"/>
      <c r="LAN63" s="2"/>
      <c r="LAO63" s="6"/>
      <c r="LAP63" s="1"/>
      <c r="LAV63" s="2"/>
      <c r="LAW63" s="6"/>
      <c r="LAX63" s="1"/>
      <c r="LBD63" s="2"/>
      <c r="LBE63" s="6"/>
      <c r="LBF63" s="1"/>
      <c r="LBL63" s="2"/>
      <c r="LBM63" s="6"/>
      <c r="LBN63" s="1"/>
      <c r="LBT63" s="2"/>
      <c r="LBU63" s="6"/>
      <c r="LBV63" s="1"/>
      <c r="LCB63" s="2"/>
      <c r="LCC63" s="6"/>
      <c r="LCD63" s="1"/>
      <c r="LCJ63" s="2"/>
      <c r="LCK63" s="6"/>
      <c r="LCL63" s="1"/>
      <c r="LCR63" s="2"/>
      <c r="LCS63" s="6"/>
      <c r="LCT63" s="1"/>
      <c r="LCZ63" s="2"/>
      <c r="LDA63" s="6"/>
      <c r="LDB63" s="1"/>
      <c r="LDH63" s="2"/>
      <c r="LDI63" s="6"/>
      <c r="LDJ63" s="1"/>
      <c r="LDP63" s="2"/>
      <c r="LDQ63" s="6"/>
      <c r="LDR63" s="1"/>
      <c r="LDX63" s="2"/>
      <c r="LDY63" s="6"/>
      <c r="LDZ63" s="1"/>
      <c r="LEF63" s="2"/>
      <c r="LEG63" s="6"/>
      <c r="LEH63" s="1"/>
      <c r="LEN63" s="2"/>
      <c r="LEO63" s="6"/>
      <c r="LEP63" s="1"/>
      <c r="LEV63" s="2"/>
      <c r="LEW63" s="6"/>
      <c r="LEX63" s="1"/>
      <c r="LFD63" s="2"/>
      <c r="LFE63" s="6"/>
      <c r="LFF63" s="1"/>
      <c r="LFL63" s="2"/>
      <c r="LFM63" s="6"/>
      <c r="LFN63" s="1"/>
      <c r="LFT63" s="2"/>
      <c r="LFU63" s="6"/>
      <c r="LFV63" s="1"/>
      <c r="LGB63" s="2"/>
      <c r="LGC63" s="6"/>
      <c r="LGD63" s="1"/>
      <c r="LGJ63" s="2"/>
      <c r="LGK63" s="6"/>
      <c r="LGL63" s="1"/>
      <c r="LGR63" s="2"/>
      <c r="LGS63" s="6"/>
      <c r="LGT63" s="1"/>
      <c r="LGZ63" s="2"/>
      <c r="LHA63" s="6"/>
      <c r="LHB63" s="1"/>
      <c r="LHH63" s="2"/>
      <c r="LHI63" s="6"/>
      <c r="LHJ63" s="1"/>
      <c r="LHP63" s="2"/>
      <c r="LHQ63" s="6"/>
      <c r="LHR63" s="1"/>
      <c r="LHX63" s="2"/>
      <c r="LHY63" s="6"/>
      <c r="LHZ63" s="1"/>
      <c r="LIF63" s="2"/>
      <c r="LIG63" s="6"/>
      <c r="LIH63" s="1"/>
      <c r="LIN63" s="2"/>
      <c r="LIO63" s="6"/>
      <c r="LIP63" s="1"/>
      <c r="LIV63" s="2"/>
      <c r="LIW63" s="6"/>
      <c r="LIX63" s="1"/>
      <c r="LJD63" s="2"/>
      <c r="LJE63" s="6"/>
      <c r="LJF63" s="1"/>
      <c r="LJL63" s="2"/>
      <c r="LJM63" s="6"/>
      <c r="LJN63" s="1"/>
      <c r="LJT63" s="2"/>
      <c r="LJU63" s="6"/>
      <c r="LJV63" s="1"/>
      <c r="LKB63" s="2"/>
      <c r="LKC63" s="6"/>
      <c r="LKD63" s="1"/>
      <c r="LKJ63" s="2"/>
      <c r="LKK63" s="6"/>
      <c r="LKL63" s="1"/>
      <c r="LKR63" s="2"/>
      <c r="LKS63" s="6"/>
      <c r="LKT63" s="1"/>
      <c r="LKZ63" s="2"/>
      <c r="LLA63" s="6"/>
      <c r="LLB63" s="1"/>
      <c r="LLH63" s="2"/>
      <c r="LLI63" s="6"/>
      <c r="LLJ63" s="1"/>
      <c r="LLP63" s="2"/>
      <c r="LLQ63" s="6"/>
      <c r="LLR63" s="1"/>
      <c r="LLX63" s="2"/>
      <c r="LLY63" s="6"/>
      <c r="LLZ63" s="1"/>
      <c r="LMF63" s="2"/>
      <c r="LMG63" s="6"/>
      <c r="LMH63" s="1"/>
      <c r="LMN63" s="2"/>
      <c r="LMO63" s="6"/>
      <c r="LMP63" s="1"/>
      <c r="LMV63" s="2"/>
      <c r="LMW63" s="6"/>
      <c r="LMX63" s="1"/>
      <c r="LND63" s="2"/>
      <c r="LNE63" s="6"/>
      <c r="LNF63" s="1"/>
      <c r="LNL63" s="2"/>
      <c r="LNM63" s="6"/>
      <c r="LNN63" s="1"/>
      <c r="LNT63" s="2"/>
      <c r="LNU63" s="6"/>
      <c r="LNV63" s="1"/>
      <c r="LOB63" s="2"/>
      <c r="LOC63" s="6"/>
      <c r="LOD63" s="1"/>
      <c r="LOJ63" s="2"/>
      <c r="LOK63" s="6"/>
      <c r="LOL63" s="1"/>
      <c r="LOR63" s="2"/>
      <c r="LOS63" s="6"/>
      <c r="LOT63" s="1"/>
      <c r="LOZ63" s="2"/>
      <c r="LPA63" s="6"/>
      <c r="LPB63" s="1"/>
      <c r="LPH63" s="2"/>
      <c r="LPI63" s="6"/>
      <c r="LPJ63" s="1"/>
      <c r="LPP63" s="2"/>
      <c r="LPQ63" s="6"/>
      <c r="LPR63" s="1"/>
      <c r="LPX63" s="2"/>
      <c r="LPY63" s="6"/>
      <c r="LPZ63" s="1"/>
      <c r="LQF63" s="2"/>
      <c r="LQG63" s="6"/>
      <c r="LQH63" s="1"/>
      <c r="LQN63" s="2"/>
      <c r="LQO63" s="6"/>
      <c r="LQP63" s="1"/>
      <c r="LQV63" s="2"/>
      <c r="LQW63" s="6"/>
      <c r="LQX63" s="1"/>
      <c r="LRD63" s="2"/>
      <c r="LRE63" s="6"/>
      <c r="LRF63" s="1"/>
      <c r="LRL63" s="2"/>
      <c r="LRM63" s="6"/>
      <c r="LRN63" s="1"/>
      <c r="LRT63" s="2"/>
      <c r="LRU63" s="6"/>
      <c r="LRV63" s="1"/>
      <c r="LSB63" s="2"/>
      <c r="LSC63" s="6"/>
      <c r="LSD63" s="1"/>
      <c r="LSJ63" s="2"/>
      <c r="LSK63" s="6"/>
      <c r="LSL63" s="1"/>
      <c r="LSR63" s="2"/>
      <c r="LSS63" s="6"/>
      <c r="LST63" s="1"/>
      <c r="LSZ63" s="2"/>
      <c r="LTA63" s="6"/>
      <c r="LTB63" s="1"/>
      <c r="LTH63" s="2"/>
      <c r="LTI63" s="6"/>
      <c r="LTJ63" s="1"/>
      <c r="LTP63" s="2"/>
      <c r="LTQ63" s="6"/>
      <c r="LTR63" s="1"/>
      <c r="LTX63" s="2"/>
      <c r="LTY63" s="6"/>
      <c r="LTZ63" s="1"/>
      <c r="LUF63" s="2"/>
      <c r="LUG63" s="6"/>
      <c r="LUH63" s="1"/>
      <c r="LUN63" s="2"/>
      <c r="LUO63" s="6"/>
      <c r="LUP63" s="1"/>
      <c r="LUV63" s="2"/>
      <c r="LUW63" s="6"/>
      <c r="LUX63" s="1"/>
      <c r="LVD63" s="2"/>
      <c r="LVE63" s="6"/>
      <c r="LVF63" s="1"/>
      <c r="LVL63" s="2"/>
      <c r="LVM63" s="6"/>
      <c r="LVN63" s="1"/>
      <c r="LVT63" s="2"/>
      <c r="LVU63" s="6"/>
      <c r="LVV63" s="1"/>
      <c r="LWB63" s="2"/>
      <c r="LWC63" s="6"/>
      <c r="LWD63" s="1"/>
      <c r="LWJ63" s="2"/>
      <c r="LWK63" s="6"/>
      <c r="LWL63" s="1"/>
      <c r="LWR63" s="2"/>
      <c r="LWS63" s="6"/>
      <c r="LWT63" s="1"/>
      <c r="LWZ63" s="2"/>
      <c r="LXA63" s="6"/>
      <c r="LXB63" s="1"/>
      <c r="LXH63" s="2"/>
      <c r="LXI63" s="6"/>
      <c r="LXJ63" s="1"/>
      <c r="LXP63" s="2"/>
      <c r="LXQ63" s="6"/>
      <c r="LXR63" s="1"/>
      <c r="LXX63" s="2"/>
      <c r="LXY63" s="6"/>
      <c r="LXZ63" s="1"/>
      <c r="LYF63" s="2"/>
      <c r="LYG63" s="6"/>
      <c r="LYH63" s="1"/>
      <c r="LYN63" s="2"/>
      <c r="LYO63" s="6"/>
      <c r="LYP63" s="1"/>
      <c r="LYV63" s="2"/>
      <c r="LYW63" s="6"/>
      <c r="LYX63" s="1"/>
      <c r="LZD63" s="2"/>
      <c r="LZE63" s="6"/>
      <c r="LZF63" s="1"/>
      <c r="LZL63" s="2"/>
      <c r="LZM63" s="6"/>
      <c r="LZN63" s="1"/>
      <c r="LZT63" s="2"/>
      <c r="LZU63" s="6"/>
      <c r="LZV63" s="1"/>
      <c r="MAB63" s="2"/>
      <c r="MAC63" s="6"/>
      <c r="MAD63" s="1"/>
      <c r="MAJ63" s="2"/>
      <c r="MAK63" s="6"/>
      <c r="MAL63" s="1"/>
      <c r="MAR63" s="2"/>
      <c r="MAS63" s="6"/>
      <c r="MAT63" s="1"/>
      <c r="MAZ63" s="2"/>
      <c r="MBA63" s="6"/>
      <c r="MBB63" s="1"/>
      <c r="MBH63" s="2"/>
      <c r="MBI63" s="6"/>
      <c r="MBJ63" s="1"/>
      <c r="MBP63" s="2"/>
      <c r="MBQ63" s="6"/>
      <c r="MBR63" s="1"/>
      <c r="MBX63" s="2"/>
      <c r="MBY63" s="6"/>
      <c r="MBZ63" s="1"/>
      <c r="MCF63" s="2"/>
      <c r="MCG63" s="6"/>
      <c r="MCH63" s="1"/>
      <c r="MCN63" s="2"/>
      <c r="MCO63" s="6"/>
      <c r="MCP63" s="1"/>
      <c r="MCV63" s="2"/>
      <c r="MCW63" s="6"/>
      <c r="MCX63" s="1"/>
      <c r="MDD63" s="2"/>
      <c r="MDE63" s="6"/>
      <c r="MDF63" s="1"/>
      <c r="MDL63" s="2"/>
      <c r="MDM63" s="6"/>
      <c r="MDN63" s="1"/>
      <c r="MDT63" s="2"/>
      <c r="MDU63" s="6"/>
      <c r="MDV63" s="1"/>
      <c r="MEB63" s="2"/>
      <c r="MEC63" s="6"/>
      <c r="MED63" s="1"/>
      <c r="MEJ63" s="2"/>
      <c r="MEK63" s="6"/>
      <c r="MEL63" s="1"/>
      <c r="MER63" s="2"/>
      <c r="MES63" s="6"/>
      <c r="MET63" s="1"/>
      <c r="MEZ63" s="2"/>
      <c r="MFA63" s="6"/>
      <c r="MFB63" s="1"/>
      <c r="MFH63" s="2"/>
      <c r="MFI63" s="6"/>
      <c r="MFJ63" s="1"/>
      <c r="MFP63" s="2"/>
      <c r="MFQ63" s="6"/>
      <c r="MFR63" s="1"/>
      <c r="MFX63" s="2"/>
      <c r="MFY63" s="6"/>
      <c r="MFZ63" s="1"/>
      <c r="MGF63" s="2"/>
      <c r="MGG63" s="6"/>
      <c r="MGH63" s="1"/>
      <c r="MGN63" s="2"/>
      <c r="MGO63" s="6"/>
      <c r="MGP63" s="1"/>
      <c r="MGV63" s="2"/>
      <c r="MGW63" s="6"/>
      <c r="MGX63" s="1"/>
      <c r="MHD63" s="2"/>
      <c r="MHE63" s="6"/>
      <c r="MHF63" s="1"/>
      <c r="MHL63" s="2"/>
      <c r="MHM63" s="6"/>
      <c r="MHN63" s="1"/>
      <c r="MHT63" s="2"/>
      <c r="MHU63" s="6"/>
      <c r="MHV63" s="1"/>
      <c r="MIB63" s="2"/>
      <c r="MIC63" s="6"/>
      <c r="MID63" s="1"/>
      <c r="MIJ63" s="2"/>
      <c r="MIK63" s="6"/>
      <c r="MIL63" s="1"/>
      <c r="MIR63" s="2"/>
      <c r="MIS63" s="6"/>
      <c r="MIT63" s="1"/>
      <c r="MIZ63" s="2"/>
      <c r="MJA63" s="6"/>
      <c r="MJB63" s="1"/>
      <c r="MJH63" s="2"/>
      <c r="MJI63" s="6"/>
      <c r="MJJ63" s="1"/>
      <c r="MJP63" s="2"/>
      <c r="MJQ63" s="6"/>
      <c r="MJR63" s="1"/>
      <c r="MJX63" s="2"/>
      <c r="MJY63" s="6"/>
      <c r="MJZ63" s="1"/>
      <c r="MKF63" s="2"/>
      <c r="MKG63" s="6"/>
      <c r="MKH63" s="1"/>
      <c r="MKN63" s="2"/>
      <c r="MKO63" s="6"/>
      <c r="MKP63" s="1"/>
      <c r="MKV63" s="2"/>
      <c r="MKW63" s="6"/>
      <c r="MKX63" s="1"/>
      <c r="MLD63" s="2"/>
      <c r="MLE63" s="6"/>
      <c r="MLF63" s="1"/>
      <c r="MLL63" s="2"/>
      <c r="MLM63" s="6"/>
      <c r="MLN63" s="1"/>
      <c r="MLT63" s="2"/>
      <c r="MLU63" s="6"/>
      <c r="MLV63" s="1"/>
      <c r="MMB63" s="2"/>
      <c r="MMC63" s="6"/>
      <c r="MMD63" s="1"/>
      <c r="MMJ63" s="2"/>
      <c r="MMK63" s="6"/>
      <c r="MML63" s="1"/>
      <c r="MMR63" s="2"/>
      <c r="MMS63" s="6"/>
      <c r="MMT63" s="1"/>
      <c r="MMZ63" s="2"/>
      <c r="MNA63" s="6"/>
      <c r="MNB63" s="1"/>
      <c r="MNH63" s="2"/>
      <c r="MNI63" s="6"/>
      <c r="MNJ63" s="1"/>
      <c r="MNP63" s="2"/>
      <c r="MNQ63" s="6"/>
      <c r="MNR63" s="1"/>
      <c r="MNX63" s="2"/>
      <c r="MNY63" s="6"/>
      <c r="MNZ63" s="1"/>
      <c r="MOF63" s="2"/>
      <c r="MOG63" s="6"/>
      <c r="MOH63" s="1"/>
      <c r="MON63" s="2"/>
      <c r="MOO63" s="6"/>
      <c r="MOP63" s="1"/>
      <c r="MOV63" s="2"/>
      <c r="MOW63" s="6"/>
      <c r="MOX63" s="1"/>
      <c r="MPD63" s="2"/>
      <c r="MPE63" s="6"/>
      <c r="MPF63" s="1"/>
      <c r="MPL63" s="2"/>
      <c r="MPM63" s="6"/>
      <c r="MPN63" s="1"/>
      <c r="MPT63" s="2"/>
      <c r="MPU63" s="6"/>
      <c r="MPV63" s="1"/>
      <c r="MQB63" s="2"/>
      <c r="MQC63" s="6"/>
      <c r="MQD63" s="1"/>
      <c r="MQJ63" s="2"/>
      <c r="MQK63" s="6"/>
      <c r="MQL63" s="1"/>
      <c r="MQR63" s="2"/>
      <c r="MQS63" s="6"/>
      <c r="MQT63" s="1"/>
      <c r="MQZ63" s="2"/>
      <c r="MRA63" s="6"/>
      <c r="MRB63" s="1"/>
      <c r="MRH63" s="2"/>
      <c r="MRI63" s="6"/>
      <c r="MRJ63" s="1"/>
      <c r="MRP63" s="2"/>
      <c r="MRQ63" s="6"/>
      <c r="MRR63" s="1"/>
      <c r="MRX63" s="2"/>
      <c r="MRY63" s="6"/>
      <c r="MRZ63" s="1"/>
      <c r="MSF63" s="2"/>
      <c r="MSG63" s="6"/>
      <c r="MSH63" s="1"/>
      <c r="MSN63" s="2"/>
      <c r="MSO63" s="6"/>
      <c r="MSP63" s="1"/>
      <c r="MSV63" s="2"/>
      <c r="MSW63" s="6"/>
      <c r="MSX63" s="1"/>
      <c r="MTD63" s="2"/>
      <c r="MTE63" s="6"/>
      <c r="MTF63" s="1"/>
      <c r="MTL63" s="2"/>
      <c r="MTM63" s="6"/>
      <c r="MTN63" s="1"/>
      <c r="MTT63" s="2"/>
      <c r="MTU63" s="6"/>
      <c r="MTV63" s="1"/>
      <c r="MUB63" s="2"/>
      <c r="MUC63" s="6"/>
      <c r="MUD63" s="1"/>
      <c r="MUJ63" s="2"/>
      <c r="MUK63" s="6"/>
      <c r="MUL63" s="1"/>
      <c r="MUR63" s="2"/>
      <c r="MUS63" s="6"/>
      <c r="MUT63" s="1"/>
      <c r="MUZ63" s="2"/>
      <c r="MVA63" s="6"/>
      <c r="MVB63" s="1"/>
      <c r="MVH63" s="2"/>
      <c r="MVI63" s="6"/>
      <c r="MVJ63" s="1"/>
      <c r="MVP63" s="2"/>
      <c r="MVQ63" s="6"/>
      <c r="MVR63" s="1"/>
      <c r="MVX63" s="2"/>
      <c r="MVY63" s="6"/>
      <c r="MVZ63" s="1"/>
      <c r="MWF63" s="2"/>
      <c r="MWG63" s="6"/>
      <c r="MWH63" s="1"/>
      <c r="MWN63" s="2"/>
      <c r="MWO63" s="6"/>
      <c r="MWP63" s="1"/>
      <c r="MWV63" s="2"/>
      <c r="MWW63" s="6"/>
      <c r="MWX63" s="1"/>
      <c r="MXD63" s="2"/>
      <c r="MXE63" s="6"/>
      <c r="MXF63" s="1"/>
      <c r="MXL63" s="2"/>
      <c r="MXM63" s="6"/>
      <c r="MXN63" s="1"/>
      <c r="MXT63" s="2"/>
      <c r="MXU63" s="6"/>
      <c r="MXV63" s="1"/>
      <c r="MYB63" s="2"/>
      <c r="MYC63" s="6"/>
      <c r="MYD63" s="1"/>
      <c r="MYJ63" s="2"/>
      <c r="MYK63" s="6"/>
      <c r="MYL63" s="1"/>
      <c r="MYR63" s="2"/>
      <c r="MYS63" s="6"/>
      <c r="MYT63" s="1"/>
      <c r="MYZ63" s="2"/>
      <c r="MZA63" s="6"/>
      <c r="MZB63" s="1"/>
      <c r="MZH63" s="2"/>
      <c r="MZI63" s="6"/>
      <c r="MZJ63" s="1"/>
      <c r="MZP63" s="2"/>
      <c r="MZQ63" s="6"/>
      <c r="MZR63" s="1"/>
      <c r="MZX63" s="2"/>
      <c r="MZY63" s="6"/>
      <c r="MZZ63" s="1"/>
      <c r="NAF63" s="2"/>
      <c r="NAG63" s="6"/>
      <c r="NAH63" s="1"/>
      <c r="NAN63" s="2"/>
      <c r="NAO63" s="6"/>
      <c r="NAP63" s="1"/>
      <c r="NAV63" s="2"/>
      <c r="NAW63" s="6"/>
      <c r="NAX63" s="1"/>
      <c r="NBD63" s="2"/>
      <c r="NBE63" s="6"/>
      <c r="NBF63" s="1"/>
      <c r="NBL63" s="2"/>
      <c r="NBM63" s="6"/>
      <c r="NBN63" s="1"/>
      <c r="NBT63" s="2"/>
      <c r="NBU63" s="6"/>
      <c r="NBV63" s="1"/>
      <c r="NCB63" s="2"/>
      <c r="NCC63" s="6"/>
      <c r="NCD63" s="1"/>
      <c r="NCJ63" s="2"/>
      <c r="NCK63" s="6"/>
      <c r="NCL63" s="1"/>
      <c r="NCR63" s="2"/>
      <c r="NCS63" s="6"/>
      <c r="NCT63" s="1"/>
      <c r="NCZ63" s="2"/>
      <c r="NDA63" s="6"/>
      <c r="NDB63" s="1"/>
      <c r="NDH63" s="2"/>
      <c r="NDI63" s="6"/>
      <c r="NDJ63" s="1"/>
      <c r="NDP63" s="2"/>
      <c r="NDQ63" s="6"/>
      <c r="NDR63" s="1"/>
      <c r="NDX63" s="2"/>
      <c r="NDY63" s="6"/>
      <c r="NDZ63" s="1"/>
      <c r="NEF63" s="2"/>
      <c r="NEG63" s="6"/>
      <c r="NEH63" s="1"/>
      <c r="NEN63" s="2"/>
      <c r="NEO63" s="6"/>
      <c r="NEP63" s="1"/>
      <c r="NEV63" s="2"/>
      <c r="NEW63" s="6"/>
      <c r="NEX63" s="1"/>
      <c r="NFD63" s="2"/>
      <c r="NFE63" s="6"/>
      <c r="NFF63" s="1"/>
      <c r="NFL63" s="2"/>
      <c r="NFM63" s="6"/>
      <c r="NFN63" s="1"/>
      <c r="NFT63" s="2"/>
      <c r="NFU63" s="6"/>
      <c r="NFV63" s="1"/>
      <c r="NGB63" s="2"/>
      <c r="NGC63" s="6"/>
      <c r="NGD63" s="1"/>
      <c r="NGJ63" s="2"/>
      <c r="NGK63" s="6"/>
      <c r="NGL63" s="1"/>
      <c r="NGR63" s="2"/>
      <c r="NGS63" s="6"/>
      <c r="NGT63" s="1"/>
      <c r="NGZ63" s="2"/>
      <c r="NHA63" s="6"/>
      <c r="NHB63" s="1"/>
      <c r="NHH63" s="2"/>
      <c r="NHI63" s="6"/>
      <c r="NHJ63" s="1"/>
      <c r="NHP63" s="2"/>
      <c r="NHQ63" s="6"/>
      <c r="NHR63" s="1"/>
      <c r="NHX63" s="2"/>
      <c r="NHY63" s="6"/>
      <c r="NHZ63" s="1"/>
      <c r="NIF63" s="2"/>
      <c r="NIG63" s="6"/>
      <c r="NIH63" s="1"/>
      <c r="NIN63" s="2"/>
      <c r="NIO63" s="6"/>
      <c r="NIP63" s="1"/>
      <c r="NIV63" s="2"/>
      <c r="NIW63" s="6"/>
      <c r="NIX63" s="1"/>
      <c r="NJD63" s="2"/>
      <c r="NJE63" s="6"/>
      <c r="NJF63" s="1"/>
      <c r="NJL63" s="2"/>
      <c r="NJM63" s="6"/>
      <c r="NJN63" s="1"/>
      <c r="NJT63" s="2"/>
      <c r="NJU63" s="6"/>
      <c r="NJV63" s="1"/>
      <c r="NKB63" s="2"/>
      <c r="NKC63" s="6"/>
      <c r="NKD63" s="1"/>
      <c r="NKJ63" s="2"/>
      <c r="NKK63" s="6"/>
      <c r="NKL63" s="1"/>
      <c r="NKR63" s="2"/>
      <c r="NKS63" s="6"/>
      <c r="NKT63" s="1"/>
      <c r="NKZ63" s="2"/>
      <c r="NLA63" s="6"/>
      <c r="NLB63" s="1"/>
      <c r="NLH63" s="2"/>
      <c r="NLI63" s="6"/>
      <c r="NLJ63" s="1"/>
      <c r="NLP63" s="2"/>
      <c r="NLQ63" s="6"/>
      <c r="NLR63" s="1"/>
      <c r="NLX63" s="2"/>
      <c r="NLY63" s="6"/>
      <c r="NLZ63" s="1"/>
      <c r="NMF63" s="2"/>
      <c r="NMG63" s="6"/>
      <c r="NMH63" s="1"/>
      <c r="NMN63" s="2"/>
      <c r="NMO63" s="6"/>
      <c r="NMP63" s="1"/>
      <c r="NMV63" s="2"/>
      <c r="NMW63" s="6"/>
      <c r="NMX63" s="1"/>
      <c r="NND63" s="2"/>
      <c r="NNE63" s="6"/>
      <c r="NNF63" s="1"/>
      <c r="NNL63" s="2"/>
      <c r="NNM63" s="6"/>
      <c r="NNN63" s="1"/>
      <c r="NNT63" s="2"/>
      <c r="NNU63" s="6"/>
      <c r="NNV63" s="1"/>
      <c r="NOB63" s="2"/>
      <c r="NOC63" s="6"/>
      <c r="NOD63" s="1"/>
      <c r="NOJ63" s="2"/>
      <c r="NOK63" s="6"/>
      <c r="NOL63" s="1"/>
      <c r="NOR63" s="2"/>
      <c r="NOS63" s="6"/>
      <c r="NOT63" s="1"/>
      <c r="NOZ63" s="2"/>
      <c r="NPA63" s="6"/>
      <c r="NPB63" s="1"/>
      <c r="NPH63" s="2"/>
      <c r="NPI63" s="6"/>
      <c r="NPJ63" s="1"/>
      <c r="NPP63" s="2"/>
      <c r="NPQ63" s="6"/>
      <c r="NPR63" s="1"/>
      <c r="NPX63" s="2"/>
      <c r="NPY63" s="6"/>
      <c r="NPZ63" s="1"/>
      <c r="NQF63" s="2"/>
      <c r="NQG63" s="6"/>
      <c r="NQH63" s="1"/>
      <c r="NQN63" s="2"/>
      <c r="NQO63" s="6"/>
      <c r="NQP63" s="1"/>
      <c r="NQV63" s="2"/>
      <c r="NQW63" s="6"/>
      <c r="NQX63" s="1"/>
      <c r="NRD63" s="2"/>
      <c r="NRE63" s="6"/>
      <c r="NRF63" s="1"/>
      <c r="NRL63" s="2"/>
      <c r="NRM63" s="6"/>
      <c r="NRN63" s="1"/>
      <c r="NRT63" s="2"/>
      <c r="NRU63" s="6"/>
      <c r="NRV63" s="1"/>
      <c r="NSB63" s="2"/>
      <c r="NSC63" s="6"/>
      <c r="NSD63" s="1"/>
      <c r="NSJ63" s="2"/>
      <c r="NSK63" s="6"/>
      <c r="NSL63" s="1"/>
      <c r="NSR63" s="2"/>
      <c r="NSS63" s="6"/>
      <c r="NST63" s="1"/>
      <c r="NSZ63" s="2"/>
      <c r="NTA63" s="6"/>
      <c r="NTB63" s="1"/>
      <c r="NTH63" s="2"/>
      <c r="NTI63" s="6"/>
      <c r="NTJ63" s="1"/>
      <c r="NTP63" s="2"/>
      <c r="NTQ63" s="6"/>
      <c r="NTR63" s="1"/>
      <c r="NTX63" s="2"/>
      <c r="NTY63" s="6"/>
      <c r="NTZ63" s="1"/>
      <c r="NUF63" s="2"/>
      <c r="NUG63" s="6"/>
      <c r="NUH63" s="1"/>
      <c r="NUN63" s="2"/>
      <c r="NUO63" s="6"/>
      <c r="NUP63" s="1"/>
      <c r="NUV63" s="2"/>
      <c r="NUW63" s="6"/>
      <c r="NUX63" s="1"/>
      <c r="NVD63" s="2"/>
      <c r="NVE63" s="6"/>
      <c r="NVF63" s="1"/>
      <c r="NVL63" s="2"/>
      <c r="NVM63" s="6"/>
      <c r="NVN63" s="1"/>
      <c r="NVT63" s="2"/>
      <c r="NVU63" s="6"/>
      <c r="NVV63" s="1"/>
      <c r="NWB63" s="2"/>
      <c r="NWC63" s="6"/>
      <c r="NWD63" s="1"/>
      <c r="NWJ63" s="2"/>
      <c r="NWK63" s="6"/>
      <c r="NWL63" s="1"/>
      <c r="NWR63" s="2"/>
      <c r="NWS63" s="6"/>
      <c r="NWT63" s="1"/>
      <c r="NWZ63" s="2"/>
      <c r="NXA63" s="6"/>
      <c r="NXB63" s="1"/>
      <c r="NXH63" s="2"/>
      <c r="NXI63" s="6"/>
      <c r="NXJ63" s="1"/>
      <c r="NXP63" s="2"/>
      <c r="NXQ63" s="6"/>
      <c r="NXR63" s="1"/>
      <c r="NXX63" s="2"/>
      <c r="NXY63" s="6"/>
      <c r="NXZ63" s="1"/>
      <c r="NYF63" s="2"/>
      <c r="NYG63" s="6"/>
      <c r="NYH63" s="1"/>
      <c r="NYN63" s="2"/>
      <c r="NYO63" s="6"/>
      <c r="NYP63" s="1"/>
      <c r="NYV63" s="2"/>
      <c r="NYW63" s="6"/>
      <c r="NYX63" s="1"/>
      <c r="NZD63" s="2"/>
      <c r="NZE63" s="6"/>
      <c r="NZF63" s="1"/>
      <c r="NZL63" s="2"/>
      <c r="NZM63" s="6"/>
      <c r="NZN63" s="1"/>
      <c r="NZT63" s="2"/>
      <c r="NZU63" s="6"/>
      <c r="NZV63" s="1"/>
      <c r="OAB63" s="2"/>
      <c r="OAC63" s="6"/>
      <c r="OAD63" s="1"/>
      <c r="OAJ63" s="2"/>
      <c r="OAK63" s="6"/>
      <c r="OAL63" s="1"/>
      <c r="OAR63" s="2"/>
      <c r="OAS63" s="6"/>
      <c r="OAT63" s="1"/>
      <c r="OAZ63" s="2"/>
      <c r="OBA63" s="6"/>
      <c r="OBB63" s="1"/>
      <c r="OBH63" s="2"/>
      <c r="OBI63" s="6"/>
      <c r="OBJ63" s="1"/>
      <c r="OBP63" s="2"/>
      <c r="OBQ63" s="6"/>
      <c r="OBR63" s="1"/>
      <c r="OBX63" s="2"/>
      <c r="OBY63" s="6"/>
      <c r="OBZ63" s="1"/>
      <c r="OCF63" s="2"/>
      <c r="OCG63" s="6"/>
      <c r="OCH63" s="1"/>
      <c r="OCN63" s="2"/>
      <c r="OCO63" s="6"/>
      <c r="OCP63" s="1"/>
      <c r="OCV63" s="2"/>
      <c r="OCW63" s="6"/>
      <c r="OCX63" s="1"/>
      <c r="ODD63" s="2"/>
      <c r="ODE63" s="6"/>
      <c r="ODF63" s="1"/>
      <c r="ODL63" s="2"/>
      <c r="ODM63" s="6"/>
      <c r="ODN63" s="1"/>
      <c r="ODT63" s="2"/>
      <c r="ODU63" s="6"/>
      <c r="ODV63" s="1"/>
      <c r="OEB63" s="2"/>
      <c r="OEC63" s="6"/>
      <c r="OED63" s="1"/>
      <c r="OEJ63" s="2"/>
      <c r="OEK63" s="6"/>
      <c r="OEL63" s="1"/>
      <c r="OER63" s="2"/>
      <c r="OES63" s="6"/>
      <c r="OET63" s="1"/>
      <c r="OEZ63" s="2"/>
      <c r="OFA63" s="6"/>
      <c r="OFB63" s="1"/>
      <c r="OFH63" s="2"/>
      <c r="OFI63" s="6"/>
      <c r="OFJ63" s="1"/>
      <c r="OFP63" s="2"/>
      <c r="OFQ63" s="6"/>
      <c r="OFR63" s="1"/>
      <c r="OFX63" s="2"/>
      <c r="OFY63" s="6"/>
      <c r="OFZ63" s="1"/>
      <c r="OGF63" s="2"/>
      <c r="OGG63" s="6"/>
      <c r="OGH63" s="1"/>
      <c r="OGN63" s="2"/>
      <c r="OGO63" s="6"/>
      <c r="OGP63" s="1"/>
      <c r="OGV63" s="2"/>
      <c r="OGW63" s="6"/>
      <c r="OGX63" s="1"/>
      <c r="OHD63" s="2"/>
      <c r="OHE63" s="6"/>
      <c r="OHF63" s="1"/>
      <c r="OHL63" s="2"/>
      <c r="OHM63" s="6"/>
      <c r="OHN63" s="1"/>
      <c r="OHT63" s="2"/>
      <c r="OHU63" s="6"/>
      <c r="OHV63" s="1"/>
      <c r="OIB63" s="2"/>
      <c r="OIC63" s="6"/>
      <c r="OID63" s="1"/>
      <c r="OIJ63" s="2"/>
      <c r="OIK63" s="6"/>
      <c r="OIL63" s="1"/>
      <c r="OIR63" s="2"/>
      <c r="OIS63" s="6"/>
      <c r="OIT63" s="1"/>
      <c r="OIZ63" s="2"/>
      <c r="OJA63" s="6"/>
      <c r="OJB63" s="1"/>
      <c r="OJH63" s="2"/>
      <c r="OJI63" s="6"/>
      <c r="OJJ63" s="1"/>
      <c r="OJP63" s="2"/>
      <c r="OJQ63" s="6"/>
      <c r="OJR63" s="1"/>
      <c r="OJX63" s="2"/>
      <c r="OJY63" s="6"/>
      <c r="OJZ63" s="1"/>
      <c r="OKF63" s="2"/>
      <c r="OKG63" s="6"/>
      <c r="OKH63" s="1"/>
      <c r="OKN63" s="2"/>
      <c r="OKO63" s="6"/>
      <c r="OKP63" s="1"/>
      <c r="OKV63" s="2"/>
      <c r="OKW63" s="6"/>
      <c r="OKX63" s="1"/>
      <c r="OLD63" s="2"/>
      <c r="OLE63" s="6"/>
      <c r="OLF63" s="1"/>
      <c r="OLL63" s="2"/>
      <c r="OLM63" s="6"/>
      <c r="OLN63" s="1"/>
      <c r="OLT63" s="2"/>
      <c r="OLU63" s="6"/>
      <c r="OLV63" s="1"/>
      <c r="OMB63" s="2"/>
      <c r="OMC63" s="6"/>
      <c r="OMD63" s="1"/>
      <c r="OMJ63" s="2"/>
      <c r="OMK63" s="6"/>
      <c r="OML63" s="1"/>
      <c r="OMR63" s="2"/>
      <c r="OMS63" s="6"/>
      <c r="OMT63" s="1"/>
      <c r="OMZ63" s="2"/>
      <c r="ONA63" s="6"/>
      <c r="ONB63" s="1"/>
      <c r="ONH63" s="2"/>
      <c r="ONI63" s="6"/>
      <c r="ONJ63" s="1"/>
      <c r="ONP63" s="2"/>
      <c r="ONQ63" s="6"/>
      <c r="ONR63" s="1"/>
      <c r="ONX63" s="2"/>
      <c r="ONY63" s="6"/>
      <c r="ONZ63" s="1"/>
      <c r="OOF63" s="2"/>
      <c r="OOG63" s="6"/>
      <c r="OOH63" s="1"/>
      <c r="OON63" s="2"/>
      <c r="OOO63" s="6"/>
      <c r="OOP63" s="1"/>
      <c r="OOV63" s="2"/>
      <c r="OOW63" s="6"/>
      <c r="OOX63" s="1"/>
      <c r="OPD63" s="2"/>
      <c r="OPE63" s="6"/>
      <c r="OPF63" s="1"/>
      <c r="OPL63" s="2"/>
      <c r="OPM63" s="6"/>
      <c r="OPN63" s="1"/>
      <c r="OPT63" s="2"/>
      <c r="OPU63" s="6"/>
      <c r="OPV63" s="1"/>
      <c r="OQB63" s="2"/>
      <c r="OQC63" s="6"/>
      <c r="OQD63" s="1"/>
      <c r="OQJ63" s="2"/>
      <c r="OQK63" s="6"/>
      <c r="OQL63" s="1"/>
      <c r="OQR63" s="2"/>
      <c r="OQS63" s="6"/>
      <c r="OQT63" s="1"/>
      <c r="OQZ63" s="2"/>
      <c r="ORA63" s="6"/>
      <c r="ORB63" s="1"/>
      <c r="ORH63" s="2"/>
      <c r="ORI63" s="6"/>
      <c r="ORJ63" s="1"/>
      <c r="ORP63" s="2"/>
      <c r="ORQ63" s="6"/>
      <c r="ORR63" s="1"/>
      <c r="ORX63" s="2"/>
      <c r="ORY63" s="6"/>
      <c r="ORZ63" s="1"/>
      <c r="OSF63" s="2"/>
      <c r="OSG63" s="6"/>
      <c r="OSH63" s="1"/>
      <c r="OSN63" s="2"/>
      <c r="OSO63" s="6"/>
      <c r="OSP63" s="1"/>
      <c r="OSV63" s="2"/>
      <c r="OSW63" s="6"/>
      <c r="OSX63" s="1"/>
      <c r="OTD63" s="2"/>
      <c r="OTE63" s="6"/>
      <c r="OTF63" s="1"/>
      <c r="OTL63" s="2"/>
      <c r="OTM63" s="6"/>
      <c r="OTN63" s="1"/>
      <c r="OTT63" s="2"/>
      <c r="OTU63" s="6"/>
      <c r="OTV63" s="1"/>
      <c r="OUB63" s="2"/>
      <c r="OUC63" s="6"/>
      <c r="OUD63" s="1"/>
      <c r="OUJ63" s="2"/>
      <c r="OUK63" s="6"/>
      <c r="OUL63" s="1"/>
      <c r="OUR63" s="2"/>
      <c r="OUS63" s="6"/>
      <c r="OUT63" s="1"/>
      <c r="OUZ63" s="2"/>
      <c r="OVA63" s="6"/>
      <c r="OVB63" s="1"/>
      <c r="OVH63" s="2"/>
      <c r="OVI63" s="6"/>
      <c r="OVJ63" s="1"/>
      <c r="OVP63" s="2"/>
      <c r="OVQ63" s="6"/>
      <c r="OVR63" s="1"/>
      <c r="OVX63" s="2"/>
      <c r="OVY63" s="6"/>
      <c r="OVZ63" s="1"/>
      <c r="OWF63" s="2"/>
      <c r="OWG63" s="6"/>
      <c r="OWH63" s="1"/>
      <c r="OWN63" s="2"/>
      <c r="OWO63" s="6"/>
      <c r="OWP63" s="1"/>
      <c r="OWV63" s="2"/>
      <c r="OWW63" s="6"/>
      <c r="OWX63" s="1"/>
      <c r="OXD63" s="2"/>
      <c r="OXE63" s="6"/>
      <c r="OXF63" s="1"/>
      <c r="OXL63" s="2"/>
      <c r="OXM63" s="6"/>
      <c r="OXN63" s="1"/>
      <c r="OXT63" s="2"/>
      <c r="OXU63" s="6"/>
      <c r="OXV63" s="1"/>
      <c r="OYB63" s="2"/>
      <c r="OYC63" s="6"/>
      <c r="OYD63" s="1"/>
      <c r="OYJ63" s="2"/>
      <c r="OYK63" s="6"/>
      <c r="OYL63" s="1"/>
      <c r="OYR63" s="2"/>
      <c r="OYS63" s="6"/>
      <c r="OYT63" s="1"/>
      <c r="OYZ63" s="2"/>
      <c r="OZA63" s="6"/>
      <c r="OZB63" s="1"/>
      <c r="OZH63" s="2"/>
      <c r="OZI63" s="6"/>
      <c r="OZJ63" s="1"/>
      <c r="OZP63" s="2"/>
      <c r="OZQ63" s="6"/>
      <c r="OZR63" s="1"/>
      <c r="OZX63" s="2"/>
      <c r="OZY63" s="6"/>
      <c r="OZZ63" s="1"/>
      <c r="PAF63" s="2"/>
      <c r="PAG63" s="6"/>
      <c r="PAH63" s="1"/>
      <c r="PAN63" s="2"/>
      <c r="PAO63" s="6"/>
      <c r="PAP63" s="1"/>
      <c r="PAV63" s="2"/>
      <c r="PAW63" s="6"/>
      <c r="PAX63" s="1"/>
      <c r="PBD63" s="2"/>
      <c r="PBE63" s="6"/>
      <c r="PBF63" s="1"/>
      <c r="PBL63" s="2"/>
      <c r="PBM63" s="6"/>
      <c r="PBN63" s="1"/>
      <c r="PBT63" s="2"/>
      <c r="PBU63" s="6"/>
      <c r="PBV63" s="1"/>
      <c r="PCB63" s="2"/>
      <c r="PCC63" s="6"/>
      <c r="PCD63" s="1"/>
      <c r="PCJ63" s="2"/>
      <c r="PCK63" s="6"/>
      <c r="PCL63" s="1"/>
      <c r="PCR63" s="2"/>
      <c r="PCS63" s="6"/>
      <c r="PCT63" s="1"/>
      <c r="PCZ63" s="2"/>
      <c r="PDA63" s="6"/>
      <c r="PDB63" s="1"/>
      <c r="PDH63" s="2"/>
      <c r="PDI63" s="6"/>
      <c r="PDJ63" s="1"/>
      <c r="PDP63" s="2"/>
      <c r="PDQ63" s="6"/>
      <c r="PDR63" s="1"/>
      <c r="PDX63" s="2"/>
      <c r="PDY63" s="6"/>
      <c r="PDZ63" s="1"/>
      <c r="PEF63" s="2"/>
      <c r="PEG63" s="6"/>
      <c r="PEH63" s="1"/>
      <c r="PEN63" s="2"/>
      <c r="PEO63" s="6"/>
      <c r="PEP63" s="1"/>
      <c r="PEV63" s="2"/>
      <c r="PEW63" s="6"/>
      <c r="PEX63" s="1"/>
      <c r="PFD63" s="2"/>
      <c r="PFE63" s="6"/>
      <c r="PFF63" s="1"/>
      <c r="PFL63" s="2"/>
      <c r="PFM63" s="6"/>
      <c r="PFN63" s="1"/>
      <c r="PFT63" s="2"/>
      <c r="PFU63" s="6"/>
      <c r="PFV63" s="1"/>
      <c r="PGB63" s="2"/>
      <c r="PGC63" s="6"/>
      <c r="PGD63" s="1"/>
      <c r="PGJ63" s="2"/>
      <c r="PGK63" s="6"/>
      <c r="PGL63" s="1"/>
      <c r="PGR63" s="2"/>
      <c r="PGS63" s="6"/>
      <c r="PGT63" s="1"/>
      <c r="PGZ63" s="2"/>
      <c r="PHA63" s="6"/>
      <c r="PHB63" s="1"/>
      <c r="PHH63" s="2"/>
      <c r="PHI63" s="6"/>
      <c r="PHJ63" s="1"/>
      <c r="PHP63" s="2"/>
      <c r="PHQ63" s="6"/>
      <c r="PHR63" s="1"/>
      <c r="PHX63" s="2"/>
      <c r="PHY63" s="6"/>
      <c r="PHZ63" s="1"/>
      <c r="PIF63" s="2"/>
      <c r="PIG63" s="6"/>
      <c r="PIH63" s="1"/>
      <c r="PIN63" s="2"/>
      <c r="PIO63" s="6"/>
      <c r="PIP63" s="1"/>
      <c r="PIV63" s="2"/>
      <c r="PIW63" s="6"/>
      <c r="PIX63" s="1"/>
      <c r="PJD63" s="2"/>
      <c r="PJE63" s="6"/>
      <c r="PJF63" s="1"/>
      <c r="PJL63" s="2"/>
      <c r="PJM63" s="6"/>
      <c r="PJN63" s="1"/>
      <c r="PJT63" s="2"/>
      <c r="PJU63" s="6"/>
      <c r="PJV63" s="1"/>
      <c r="PKB63" s="2"/>
      <c r="PKC63" s="6"/>
      <c r="PKD63" s="1"/>
      <c r="PKJ63" s="2"/>
      <c r="PKK63" s="6"/>
      <c r="PKL63" s="1"/>
      <c r="PKR63" s="2"/>
      <c r="PKS63" s="6"/>
      <c r="PKT63" s="1"/>
      <c r="PKZ63" s="2"/>
      <c r="PLA63" s="6"/>
      <c r="PLB63" s="1"/>
      <c r="PLH63" s="2"/>
      <c r="PLI63" s="6"/>
      <c r="PLJ63" s="1"/>
      <c r="PLP63" s="2"/>
      <c r="PLQ63" s="6"/>
      <c r="PLR63" s="1"/>
      <c r="PLX63" s="2"/>
      <c r="PLY63" s="6"/>
      <c r="PLZ63" s="1"/>
      <c r="PMF63" s="2"/>
      <c r="PMG63" s="6"/>
      <c r="PMH63" s="1"/>
      <c r="PMN63" s="2"/>
      <c r="PMO63" s="6"/>
      <c r="PMP63" s="1"/>
      <c r="PMV63" s="2"/>
      <c r="PMW63" s="6"/>
      <c r="PMX63" s="1"/>
      <c r="PND63" s="2"/>
      <c r="PNE63" s="6"/>
      <c r="PNF63" s="1"/>
      <c r="PNL63" s="2"/>
      <c r="PNM63" s="6"/>
      <c r="PNN63" s="1"/>
      <c r="PNT63" s="2"/>
      <c r="PNU63" s="6"/>
      <c r="PNV63" s="1"/>
      <c r="POB63" s="2"/>
      <c r="POC63" s="6"/>
      <c r="POD63" s="1"/>
      <c r="POJ63" s="2"/>
      <c r="POK63" s="6"/>
      <c r="POL63" s="1"/>
      <c r="POR63" s="2"/>
      <c r="POS63" s="6"/>
      <c r="POT63" s="1"/>
      <c r="POZ63" s="2"/>
      <c r="PPA63" s="6"/>
      <c r="PPB63" s="1"/>
      <c r="PPH63" s="2"/>
      <c r="PPI63" s="6"/>
      <c r="PPJ63" s="1"/>
      <c r="PPP63" s="2"/>
      <c r="PPQ63" s="6"/>
      <c r="PPR63" s="1"/>
      <c r="PPX63" s="2"/>
      <c r="PPY63" s="6"/>
      <c r="PPZ63" s="1"/>
      <c r="PQF63" s="2"/>
      <c r="PQG63" s="6"/>
      <c r="PQH63" s="1"/>
      <c r="PQN63" s="2"/>
      <c r="PQO63" s="6"/>
      <c r="PQP63" s="1"/>
      <c r="PQV63" s="2"/>
      <c r="PQW63" s="6"/>
      <c r="PQX63" s="1"/>
      <c r="PRD63" s="2"/>
      <c r="PRE63" s="6"/>
      <c r="PRF63" s="1"/>
      <c r="PRL63" s="2"/>
      <c r="PRM63" s="6"/>
      <c r="PRN63" s="1"/>
      <c r="PRT63" s="2"/>
      <c r="PRU63" s="6"/>
      <c r="PRV63" s="1"/>
      <c r="PSB63" s="2"/>
      <c r="PSC63" s="6"/>
      <c r="PSD63" s="1"/>
      <c r="PSJ63" s="2"/>
      <c r="PSK63" s="6"/>
      <c r="PSL63" s="1"/>
      <c r="PSR63" s="2"/>
      <c r="PSS63" s="6"/>
      <c r="PST63" s="1"/>
      <c r="PSZ63" s="2"/>
      <c r="PTA63" s="6"/>
      <c r="PTB63" s="1"/>
      <c r="PTH63" s="2"/>
      <c r="PTI63" s="6"/>
      <c r="PTJ63" s="1"/>
      <c r="PTP63" s="2"/>
      <c r="PTQ63" s="6"/>
      <c r="PTR63" s="1"/>
      <c r="PTX63" s="2"/>
      <c r="PTY63" s="6"/>
      <c r="PTZ63" s="1"/>
      <c r="PUF63" s="2"/>
      <c r="PUG63" s="6"/>
      <c r="PUH63" s="1"/>
      <c r="PUN63" s="2"/>
      <c r="PUO63" s="6"/>
      <c r="PUP63" s="1"/>
      <c r="PUV63" s="2"/>
      <c r="PUW63" s="6"/>
      <c r="PUX63" s="1"/>
      <c r="PVD63" s="2"/>
      <c r="PVE63" s="6"/>
      <c r="PVF63" s="1"/>
      <c r="PVL63" s="2"/>
      <c r="PVM63" s="6"/>
      <c r="PVN63" s="1"/>
      <c r="PVT63" s="2"/>
      <c r="PVU63" s="6"/>
      <c r="PVV63" s="1"/>
      <c r="PWB63" s="2"/>
      <c r="PWC63" s="6"/>
      <c r="PWD63" s="1"/>
      <c r="PWJ63" s="2"/>
      <c r="PWK63" s="6"/>
      <c r="PWL63" s="1"/>
      <c r="PWR63" s="2"/>
      <c r="PWS63" s="6"/>
      <c r="PWT63" s="1"/>
      <c r="PWZ63" s="2"/>
      <c r="PXA63" s="6"/>
      <c r="PXB63" s="1"/>
      <c r="PXH63" s="2"/>
      <c r="PXI63" s="6"/>
      <c r="PXJ63" s="1"/>
      <c r="PXP63" s="2"/>
      <c r="PXQ63" s="6"/>
      <c r="PXR63" s="1"/>
      <c r="PXX63" s="2"/>
      <c r="PXY63" s="6"/>
      <c r="PXZ63" s="1"/>
      <c r="PYF63" s="2"/>
      <c r="PYG63" s="6"/>
      <c r="PYH63" s="1"/>
      <c r="PYN63" s="2"/>
      <c r="PYO63" s="6"/>
      <c r="PYP63" s="1"/>
      <c r="PYV63" s="2"/>
      <c r="PYW63" s="6"/>
      <c r="PYX63" s="1"/>
      <c r="PZD63" s="2"/>
      <c r="PZE63" s="6"/>
      <c r="PZF63" s="1"/>
      <c r="PZL63" s="2"/>
      <c r="PZM63" s="6"/>
      <c r="PZN63" s="1"/>
      <c r="PZT63" s="2"/>
      <c r="PZU63" s="6"/>
      <c r="PZV63" s="1"/>
      <c r="QAB63" s="2"/>
      <c r="QAC63" s="6"/>
      <c r="QAD63" s="1"/>
      <c r="QAJ63" s="2"/>
      <c r="QAK63" s="6"/>
      <c r="QAL63" s="1"/>
      <c r="QAR63" s="2"/>
      <c r="QAS63" s="6"/>
      <c r="QAT63" s="1"/>
      <c r="QAZ63" s="2"/>
      <c r="QBA63" s="6"/>
      <c r="QBB63" s="1"/>
      <c r="QBH63" s="2"/>
      <c r="QBI63" s="6"/>
      <c r="QBJ63" s="1"/>
      <c r="QBP63" s="2"/>
      <c r="QBQ63" s="6"/>
      <c r="QBR63" s="1"/>
      <c r="QBX63" s="2"/>
      <c r="QBY63" s="6"/>
      <c r="QBZ63" s="1"/>
      <c r="QCF63" s="2"/>
      <c r="QCG63" s="6"/>
      <c r="QCH63" s="1"/>
      <c r="QCN63" s="2"/>
      <c r="QCO63" s="6"/>
      <c r="QCP63" s="1"/>
      <c r="QCV63" s="2"/>
      <c r="QCW63" s="6"/>
      <c r="QCX63" s="1"/>
      <c r="QDD63" s="2"/>
      <c r="QDE63" s="6"/>
      <c r="QDF63" s="1"/>
      <c r="QDL63" s="2"/>
      <c r="QDM63" s="6"/>
      <c r="QDN63" s="1"/>
      <c r="QDT63" s="2"/>
      <c r="QDU63" s="6"/>
      <c r="QDV63" s="1"/>
      <c r="QEB63" s="2"/>
      <c r="QEC63" s="6"/>
      <c r="QED63" s="1"/>
      <c r="QEJ63" s="2"/>
      <c r="QEK63" s="6"/>
      <c r="QEL63" s="1"/>
      <c r="QER63" s="2"/>
      <c r="QES63" s="6"/>
      <c r="QET63" s="1"/>
      <c r="QEZ63" s="2"/>
      <c r="QFA63" s="6"/>
      <c r="QFB63" s="1"/>
      <c r="QFH63" s="2"/>
      <c r="QFI63" s="6"/>
      <c r="QFJ63" s="1"/>
      <c r="QFP63" s="2"/>
      <c r="QFQ63" s="6"/>
      <c r="QFR63" s="1"/>
      <c r="QFX63" s="2"/>
      <c r="QFY63" s="6"/>
      <c r="QFZ63" s="1"/>
      <c r="QGF63" s="2"/>
      <c r="QGG63" s="6"/>
      <c r="QGH63" s="1"/>
      <c r="QGN63" s="2"/>
      <c r="QGO63" s="6"/>
      <c r="QGP63" s="1"/>
      <c r="QGV63" s="2"/>
      <c r="QGW63" s="6"/>
      <c r="QGX63" s="1"/>
      <c r="QHD63" s="2"/>
      <c r="QHE63" s="6"/>
      <c r="QHF63" s="1"/>
      <c r="QHL63" s="2"/>
      <c r="QHM63" s="6"/>
      <c r="QHN63" s="1"/>
      <c r="QHT63" s="2"/>
      <c r="QHU63" s="6"/>
      <c r="QHV63" s="1"/>
      <c r="QIB63" s="2"/>
      <c r="QIC63" s="6"/>
      <c r="QID63" s="1"/>
      <c r="QIJ63" s="2"/>
      <c r="QIK63" s="6"/>
      <c r="QIL63" s="1"/>
      <c r="QIR63" s="2"/>
      <c r="QIS63" s="6"/>
      <c r="QIT63" s="1"/>
      <c r="QIZ63" s="2"/>
      <c r="QJA63" s="6"/>
      <c r="QJB63" s="1"/>
      <c r="QJH63" s="2"/>
      <c r="QJI63" s="6"/>
      <c r="QJJ63" s="1"/>
      <c r="QJP63" s="2"/>
      <c r="QJQ63" s="6"/>
      <c r="QJR63" s="1"/>
      <c r="QJX63" s="2"/>
      <c r="QJY63" s="6"/>
      <c r="QJZ63" s="1"/>
      <c r="QKF63" s="2"/>
      <c r="QKG63" s="6"/>
      <c r="QKH63" s="1"/>
      <c r="QKN63" s="2"/>
      <c r="QKO63" s="6"/>
      <c r="QKP63" s="1"/>
      <c r="QKV63" s="2"/>
      <c r="QKW63" s="6"/>
      <c r="QKX63" s="1"/>
      <c r="QLD63" s="2"/>
      <c r="QLE63" s="6"/>
      <c r="QLF63" s="1"/>
      <c r="QLL63" s="2"/>
      <c r="QLM63" s="6"/>
      <c r="QLN63" s="1"/>
      <c r="QLT63" s="2"/>
      <c r="QLU63" s="6"/>
      <c r="QLV63" s="1"/>
      <c r="QMB63" s="2"/>
      <c r="QMC63" s="6"/>
      <c r="QMD63" s="1"/>
      <c r="QMJ63" s="2"/>
      <c r="QMK63" s="6"/>
      <c r="QML63" s="1"/>
      <c r="QMR63" s="2"/>
      <c r="QMS63" s="6"/>
      <c r="QMT63" s="1"/>
      <c r="QMZ63" s="2"/>
      <c r="QNA63" s="6"/>
      <c r="QNB63" s="1"/>
      <c r="QNH63" s="2"/>
      <c r="QNI63" s="6"/>
      <c r="QNJ63" s="1"/>
      <c r="QNP63" s="2"/>
      <c r="QNQ63" s="6"/>
      <c r="QNR63" s="1"/>
      <c r="QNX63" s="2"/>
      <c r="QNY63" s="6"/>
      <c r="QNZ63" s="1"/>
      <c r="QOF63" s="2"/>
      <c r="QOG63" s="6"/>
      <c r="QOH63" s="1"/>
      <c r="QON63" s="2"/>
      <c r="QOO63" s="6"/>
      <c r="QOP63" s="1"/>
      <c r="QOV63" s="2"/>
      <c r="QOW63" s="6"/>
      <c r="QOX63" s="1"/>
      <c r="QPD63" s="2"/>
      <c r="QPE63" s="6"/>
      <c r="QPF63" s="1"/>
      <c r="QPL63" s="2"/>
      <c r="QPM63" s="6"/>
      <c r="QPN63" s="1"/>
      <c r="QPT63" s="2"/>
      <c r="QPU63" s="6"/>
      <c r="QPV63" s="1"/>
      <c r="QQB63" s="2"/>
      <c r="QQC63" s="6"/>
      <c r="QQD63" s="1"/>
      <c r="QQJ63" s="2"/>
      <c r="QQK63" s="6"/>
      <c r="QQL63" s="1"/>
      <c r="QQR63" s="2"/>
      <c r="QQS63" s="6"/>
      <c r="QQT63" s="1"/>
      <c r="QQZ63" s="2"/>
      <c r="QRA63" s="6"/>
      <c r="QRB63" s="1"/>
      <c r="QRH63" s="2"/>
      <c r="QRI63" s="6"/>
      <c r="QRJ63" s="1"/>
      <c r="QRP63" s="2"/>
      <c r="QRQ63" s="6"/>
      <c r="QRR63" s="1"/>
      <c r="QRX63" s="2"/>
      <c r="QRY63" s="6"/>
      <c r="QRZ63" s="1"/>
      <c r="QSF63" s="2"/>
      <c r="QSG63" s="6"/>
      <c r="QSH63" s="1"/>
      <c r="QSN63" s="2"/>
      <c r="QSO63" s="6"/>
      <c r="QSP63" s="1"/>
      <c r="QSV63" s="2"/>
      <c r="QSW63" s="6"/>
      <c r="QSX63" s="1"/>
      <c r="QTD63" s="2"/>
      <c r="QTE63" s="6"/>
      <c r="QTF63" s="1"/>
      <c r="QTL63" s="2"/>
      <c r="QTM63" s="6"/>
      <c r="QTN63" s="1"/>
      <c r="QTT63" s="2"/>
      <c r="QTU63" s="6"/>
      <c r="QTV63" s="1"/>
      <c r="QUB63" s="2"/>
      <c r="QUC63" s="6"/>
      <c r="QUD63" s="1"/>
      <c r="QUJ63" s="2"/>
      <c r="QUK63" s="6"/>
      <c r="QUL63" s="1"/>
      <c r="QUR63" s="2"/>
      <c r="QUS63" s="6"/>
      <c r="QUT63" s="1"/>
      <c r="QUZ63" s="2"/>
      <c r="QVA63" s="6"/>
      <c r="QVB63" s="1"/>
      <c r="QVH63" s="2"/>
      <c r="QVI63" s="6"/>
      <c r="QVJ63" s="1"/>
      <c r="QVP63" s="2"/>
      <c r="QVQ63" s="6"/>
      <c r="QVR63" s="1"/>
      <c r="QVX63" s="2"/>
      <c r="QVY63" s="6"/>
      <c r="QVZ63" s="1"/>
      <c r="QWF63" s="2"/>
      <c r="QWG63" s="6"/>
      <c r="QWH63" s="1"/>
      <c r="QWN63" s="2"/>
      <c r="QWO63" s="6"/>
      <c r="QWP63" s="1"/>
      <c r="QWV63" s="2"/>
      <c r="QWW63" s="6"/>
      <c r="QWX63" s="1"/>
      <c r="QXD63" s="2"/>
      <c r="QXE63" s="6"/>
      <c r="QXF63" s="1"/>
      <c r="QXL63" s="2"/>
      <c r="QXM63" s="6"/>
      <c r="QXN63" s="1"/>
      <c r="QXT63" s="2"/>
      <c r="QXU63" s="6"/>
      <c r="QXV63" s="1"/>
      <c r="QYB63" s="2"/>
      <c r="QYC63" s="6"/>
      <c r="QYD63" s="1"/>
      <c r="QYJ63" s="2"/>
      <c r="QYK63" s="6"/>
      <c r="QYL63" s="1"/>
      <c r="QYR63" s="2"/>
      <c r="QYS63" s="6"/>
      <c r="QYT63" s="1"/>
      <c r="QYZ63" s="2"/>
      <c r="QZA63" s="6"/>
      <c r="QZB63" s="1"/>
      <c r="QZH63" s="2"/>
      <c r="QZI63" s="6"/>
      <c r="QZJ63" s="1"/>
      <c r="QZP63" s="2"/>
      <c r="QZQ63" s="6"/>
      <c r="QZR63" s="1"/>
      <c r="QZX63" s="2"/>
      <c r="QZY63" s="6"/>
      <c r="QZZ63" s="1"/>
      <c r="RAF63" s="2"/>
      <c r="RAG63" s="6"/>
      <c r="RAH63" s="1"/>
      <c r="RAN63" s="2"/>
      <c r="RAO63" s="6"/>
      <c r="RAP63" s="1"/>
      <c r="RAV63" s="2"/>
      <c r="RAW63" s="6"/>
      <c r="RAX63" s="1"/>
      <c r="RBD63" s="2"/>
      <c r="RBE63" s="6"/>
      <c r="RBF63" s="1"/>
      <c r="RBL63" s="2"/>
      <c r="RBM63" s="6"/>
      <c r="RBN63" s="1"/>
      <c r="RBT63" s="2"/>
      <c r="RBU63" s="6"/>
      <c r="RBV63" s="1"/>
      <c r="RCB63" s="2"/>
      <c r="RCC63" s="6"/>
      <c r="RCD63" s="1"/>
      <c r="RCJ63" s="2"/>
      <c r="RCK63" s="6"/>
      <c r="RCL63" s="1"/>
      <c r="RCR63" s="2"/>
      <c r="RCS63" s="6"/>
      <c r="RCT63" s="1"/>
      <c r="RCZ63" s="2"/>
      <c r="RDA63" s="6"/>
      <c r="RDB63" s="1"/>
      <c r="RDH63" s="2"/>
      <c r="RDI63" s="6"/>
      <c r="RDJ63" s="1"/>
      <c r="RDP63" s="2"/>
      <c r="RDQ63" s="6"/>
      <c r="RDR63" s="1"/>
      <c r="RDX63" s="2"/>
      <c r="RDY63" s="6"/>
      <c r="RDZ63" s="1"/>
      <c r="REF63" s="2"/>
      <c r="REG63" s="6"/>
      <c r="REH63" s="1"/>
      <c r="REN63" s="2"/>
      <c r="REO63" s="6"/>
      <c r="REP63" s="1"/>
      <c r="REV63" s="2"/>
      <c r="REW63" s="6"/>
      <c r="REX63" s="1"/>
      <c r="RFD63" s="2"/>
      <c r="RFE63" s="6"/>
      <c r="RFF63" s="1"/>
      <c r="RFL63" s="2"/>
      <c r="RFM63" s="6"/>
      <c r="RFN63" s="1"/>
      <c r="RFT63" s="2"/>
      <c r="RFU63" s="6"/>
      <c r="RFV63" s="1"/>
      <c r="RGB63" s="2"/>
      <c r="RGC63" s="6"/>
      <c r="RGD63" s="1"/>
      <c r="RGJ63" s="2"/>
      <c r="RGK63" s="6"/>
      <c r="RGL63" s="1"/>
      <c r="RGR63" s="2"/>
      <c r="RGS63" s="6"/>
      <c r="RGT63" s="1"/>
      <c r="RGZ63" s="2"/>
      <c r="RHA63" s="6"/>
      <c r="RHB63" s="1"/>
      <c r="RHH63" s="2"/>
      <c r="RHI63" s="6"/>
      <c r="RHJ63" s="1"/>
      <c r="RHP63" s="2"/>
      <c r="RHQ63" s="6"/>
      <c r="RHR63" s="1"/>
      <c r="RHX63" s="2"/>
      <c r="RHY63" s="6"/>
      <c r="RHZ63" s="1"/>
      <c r="RIF63" s="2"/>
      <c r="RIG63" s="6"/>
      <c r="RIH63" s="1"/>
      <c r="RIN63" s="2"/>
      <c r="RIO63" s="6"/>
      <c r="RIP63" s="1"/>
      <c r="RIV63" s="2"/>
      <c r="RIW63" s="6"/>
      <c r="RIX63" s="1"/>
      <c r="RJD63" s="2"/>
      <c r="RJE63" s="6"/>
      <c r="RJF63" s="1"/>
      <c r="RJL63" s="2"/>
      <c r="RJM63" s="6"/>
      <c r="RJN63" s="1"/>
      <c r="RJT63" s="2"/>
      <c r="RJU63" s="6"/>
      <c r="RJV63" s="1"/>
      <c r="RKB63" s="2"/>
      <c r="RKC63" s="6"/>
      <c r="RKD63" s="1"/>
      <c r="RKJ63" s="2"/>
      <c r="RKK63" s="6"/>
      <c r="RKL63" s="1"/>
      <c r="RKR63" s="2"/>
      <c r="RKS63" s="6"/>
      <c r="RKT63" s="1"/>
      <c r="RKZ63" s="2"/>
      <c r="RLA63" s="6"/>
      <c r="RLB63" s="1"/>
      <c r="RLH63" s="2"/>
      <c r="RLI63" s="6"/>
      <c r="RLJ63" s="1"/>
      <c r="RLP63" s="2"/>
      <c r="RLQ63" s="6"/>
      <c r="RLR63" s="1"/>
      <c r="RLX63" s="2"/>
      <c r="RLY63" s="6"/>
      <c r="RLZ63" s="1"/>
      <c r="RMF63" s="2"/>
      <c r="RMG63" s="6"/>
      <c r="RMH63" s="1"/>
      <c r="RMN63" s="2"/>
      <c r="RMO63" s="6"/>
      <c r="RMP63" s="1"/>
      <c r="RMV63" s="2"/>
      <c r="RMW63" s="6"/>
      <c r="RMX63" s="1"/>
      <c r="RND63" s="2"/>
      <c r="RNE63" s="6"/>
      <c r="RNF63" s="1"/>
      <c r="RNL63" s="2"/>
      <c r="RNM63" s="6"/>
      <c r="RNN63" s="1"/>
      <c r="RNT63" s="2"/>
      <c r="RNU63" s="6"/>
      <c r="RNV63" s="1"/>
      <c r="ROB63" s="2"/>
      <c r="ROC63" s="6"/>
      <c r="ROD63" s="1"/>
      <c r="ROJ63" s="2"/>
      <c r="ROK63" s="6"/>
      <c r="ROL63" s="1"/>
      <c r="ROR63" s="2"/>
      <c r="ROS63" s="6"/>
      <c r="ROT63" s="1"/>
      <c r="ROZ63" s="2"/>
      <c r="RPA63" s="6"/>
      <c r="RPB63" s="1"/>
      <c r="RPH63" s="2"/>
      <c r="RPI63" s="6"/>
      <c r="RPJ63" s="1"/>
      <c r="RPP63" s="2"/>
      <c r="RPQ63" s="6"/>
      <c r="RPR63" s="1"/>
      <c r="RPX63" s="2"/>
      <c r="RPY63" s="6"/>
      <c r="RPZ63" s="1"/>
      <c r="RQF63" s="2"/>
      <c r="RQG63" s="6"/>
      <c r="RQH63" s="1"/>
      <c r="RQN63" s="2"/>
      <c r="RQO63" s="6"/>
      <c r="RQP63" s="1"/>
      <c r="RQV63" s="2"/>
      <c r="RQW63" s="6"/>
      <c r="RQX63" s="1"/>
      <c r="RRD63" s="2"/>
      <c r="RRE63" s="6"/>
      <c r="RRF63" s="1"/>
      <c r="RRL63" s="2"/>
      <c r="RRM63" s="6"/>
      <c r="RRN63" s="1"/>
      <c r="RRT63" s="2"/>
      <c r="RRU63" s="6"/>
      <c r="RRV63" s="1"/>
      <c r="RSB63" s="2"/>
      <c r="RSC63" s="6"/>
      <c r="RSD63" s="1"/>
      <c r="RSJ63" s="2"/>
      <c r="RSK63" s="6"/>
      <c r="RSL63" s="1"/>
      <c r="RSR63" s="2"/>
      <c r="RSS63" s="6"/>
      <c r="RST63" s="1"/>
      <c r="RSZ63" s="2"/>
      <c r="RTA63" s="6"/>
      <c r="RTB63" s="1"/>
      <c r="RTH63" s="2"/>
      <c r="RTI63" s="6"/>
      <c r="RTJ63" s="1"/>
      <c r="RTP63" s="2"/>
      <c r="RTQ63" s="6"/>
      <c r="RTR63" s="1"/>
      <c r="RTX63" s="2"/>
      <c r="RTY63" s="6"/>
      <c r="RTZ63" s="1"/>
      <c r="RUF63" s="2"/>
      <c r="RUG63" s="6"/>
      <c r="RUH63" s="1"/>
      <c r="RUN63" s="2"/>
      <c r="RUO63" s="6"/>
      <c r="RUP63" s="1"/>
      <c r="RUV63" s="2"/>
      <c r="RUW63" s="6"/>
      <c r="RUX63" s="1"/>
      <c r="RVD63" s="2"/>
      <c r="RVE63" s="6"/>
      <c r="RVF63" s="1"/>
      <c r="RVL63" s="2"/>
      <c r="RVM63" s="6"/>
      <c r="RVN63" s="1"/>
      <c r="RVT63" s="2"/>
      <c r="RVU63" s="6"/>
      <c r="RVV63" s="1"/>
      <c r="RWB63" s="2"/>
      <c r="RWC63" s="6"/>
      <c r="RWD63" s="1"/>
      <c r="RWJ63" s="2"/>
      <c r="RWK63" s="6"/>
      <c r="RWL63" s="1"/>
      <c r="RWR63" s="2"/>
      <c r="RWS63" s="6"/>
      <c r="RWT63" s="1"/>
      <c r="RWZ63" s="2"/>
      <c r="RXA63" s="6"/>
      <c r="RXB63" s="1"/>
      <c r="RXH63" s="2"/>
      <c r="RXI63" s="6"/>
      <c r="RXJ63" s="1"/>
      <c r="RXP63" s="2"/>
      <c r="RXQ63" s="6"/>
      <c r="RXR63" s="1"/>
      <c r="RXX63" s="2"/>
      <c r="RXY63" s="6"/>
      <c r="RXZ63" s="1"/>
      <c r="RYF63" s="2"/>
      <c r="RYG63" s="6"/>
      <c r="RYH63" s="1"/>
      <c r="RYN63" s="2"/>
      <c r="RYO63" s="6"/>
      <c r="RYP63" s="1"/>
      <c r="RYV63" s="2"/>
      <c r="RYW63" s="6"/>
      <c r="RYX63" s="1"/>
      <c r="RZD63" s="2"/>
      <c r="RZE63" s="6"/>
      <c r="RZF63" s="1"/>
      <c r="RZL63" s="2"/>
      <c r="RZM63" s="6"/>
      <c r="RZN63" s="1"/>
      <c r="RZT63" s="2"/>
      <c r="RZU63" s="6"/>
      <c r="RZV63" s="1"/>
      <c r="SAB63" s="2"/>
      <c r="SAC63" s="6"/>
      <c r="SAD63" s="1"/>
      <c r="SAJ63" s="2"/>
      <c r="SAK63" s="6"/>
      <c r="SAL63" s="1"/>
      <c r="SAR63" s="2"/>
      <c r="SAS63" s="6"/>
      <c r="SAT63" s="1"/>
      <c r="SAZ63" s="2"/>
      <c r="SBA63" s="6"/>
      <c r="SBB63" s="1"/>
      <c r="SBH63" s="2"/>
      <c r="SBI63" s="6"/>
      <c r="SBJ63" s="1"/>
      <c r="SBP63" s="2"/>
      <c r="SBQ63" s="6"/>
      <c r="SBR63" s="1"/>
      <c r="SBX63" s="2"/>
      <c r="SBY63" s="6"/>
      <c r="SBZ63" s="1"/>
      <c r="SCF63" s="2"/>
      <c r="SCG63" s="6"/>
      <c r="SCH63" s="1"/>
      <c r="SCN63" s="2"/>
      <c r="SCO63" s="6"/>
      <c r="SCP63" s="1"/>
      <c r="SCV63" s="2"/>
      <c r="SCW63" s="6"/>
      <c r="SCX63" s="1"/>
      <c r="SDD63" s="2"/>
      <c r="SDE63" s="6"/>
      <c r="SDF63" s="1"/>
      <c r="SDL63" s="2"/>
      <c r="SDM63" s="6"/>
      <c r="SDN63" s="1"/>
      <c r="SDT63" s="2"/>
      <c r="SDU63" s="6"/>
      <c r="SDV63" s="1"/>
      <c r="SEB63" s="2"/>
      <c r="SEC63" s="6"/>
      <c r="SED63" s="1"/>
      <c r="SEJ63" s="2"/>
      <c r="SEK63" s="6"/>
      <c r="SEL63" s="1"/>
      <c r="SER63" s="2"/>
      <c r="SES63" s="6"/>
      <c r="SET63" s="1"/>
      <c r="SEZ63" s="2"/>
      <c r="SFA63" s="6"/>
      <c r="SFB63" s="1"/>
      <c r="SFH63" s="2"/>
      <c r="SFI63" s="6"/>
      <c r="SFJ63" s="1"/>
      <c r="SFP63" s="2"/>
      <c r="SFQ63" s="6"/>
      <c r="SFR63" s="1"/>
      <c r="SFX63" s="2"/>
      <c r="SFY63" s="6"/>
      <c r="SFZ63" s="1"/>
      <c r="SGF63" s="2"/>
      <c r="SGG63" s="6"/>
      <c r="SGH63" s="1"/>
      <c r="SGN63" s="2"/>
      <c r="SGO63" s="6"/>
      <c r="SGP63" s="1"/>
      <c r="SGV63" s="2"/>
      <c r="SGW63" s="6"/>
      <c r="SGX63" s="1"/>
      <c r="SHD63" s="2"/>
      <c r="SHE63" s="6"/>
      <c r="SHF63" s="1"/>
      <c r="SHL63" s="2"/>
      <c r="SHM63" s="6"/>
      <c r="SHN63" s="1"/>
      <c r="SHT63" s="2"/>
      <c r="SHU63" s="6"/>
      <c r="SHV63" s="1"/>
      <c r="SIB63" s="2"/>
      <c r="SIC63" s="6"/>
      <c r="SID63" s="1"/>
      <c r="SIJ63" s="2"/>
      <c r="SIK63" s="6"/>
      <c r="SIL63" s="1"/>
      <c r="SIR63" s="2"/>
      <c r="SIS63" s="6"/>
      <c r="SIT63" s="1"/>
      <c r="SIZ63" s="2"/>
      <c r="SJA63" s="6"/>
      <c r="SJB63" s="1"/>
      <c r="SJH63" s="2"/>
      <c r="SJI63" s="6"/>
      <c r="SJJ63" s="1"/>
      <c r="SJP63" s="2"/>
      <c r="SJQ63" s="6"/>
      <c r="SJR63" s="1"/>
      <c r="SJX63" s="2"/>
      <c r="SJY63" s="6"/>
      <c r="SJZ63" s="1"/>
      <c r="SKF63" s="2"/>
      <c r="SKG63" s="6"/>
      <c r="SKH63" s="1"/>
      <c r="SKN63" s="2"/>
      <c r="SKO63" s="6"/>
      <c r="SKP63" s="1"/>
      <c r="SKV63" s="2"/>
      <c r="SKW63" s="6"/>
      <c r="SKX63" s="1"/>
      <c r="SLD63" s="2"/>
      <c r="SLE63" s="6"/>
      <c r="SLF63" s="1"/>
      <c r="SLL63" s="2"/>
      <c r="SLM63" s="6"/>
      <c r="SLN63" s="1"/>
      <c r="SLT63" s="2"/>
      <c r="SLU63" s="6"/>
      <c r="SLV63" s="1"/>
      <c r="SMB63" s="2"/>
      <c r="SMC63" s="6"/>
      <c r="SMD63" s="1"/>
      <c r="SMJ63" s="2"/>
      <c r="SMK63" s="6"/>
      <c r="SML63" s="1"/>
      <c r="SMR63" s="2"/>
      <c r="SMS63" s="6"/>
      <c r="SMT63" s="1"/>
      <c r="SMZ63" s="2"/>
      <c r="SNA63" s="6"/>
      <c r="SNB63" s="1"/>
      <c r="SNH63" s="2"/>
      <c r="SNI63" s="6"/>
      <c r="SNJ63" s="1"/>
      <c r="SNP63" s="2"/>
      <c r="SNQ63" s="6"/>
      <c r="SNR63" s="1"/>
      <c r="SNX63" s="2"/>
      <c r="SNY63" s="6"/>
      <c r="SNZ63" s="1"/>
      <c r="SOF63" s="2"/>
      <c r="SOG63" s="6"/>
      <c r="SOH63" s="1"/>
      <c r="SON63" s="2"/>
      <c r="SOO63" s="6"/>
      <c r="SOP63" s="1"/>
      <c r="SOV63" s="2"/>
      <c r="SOW63" s="6"/>
      <c r="SOX63" s="1"/>
      <c r="SPD63" s="2"/>
      <c r="SPE63" s="6"/>
      <c r="SPF63" s="1"/>
      <c r="SPL63" s="2"/>
      <c r="SPM63" s="6"/>
      <c r="SPN63" s="1"/>
      <c r="SPT63" s="2"/>
      <c r="SPU63" s="6"/>
      <c r="SPV63" s="1"/>
      <c r="SQB63" s="2"/>
      <c r="SQC63" s="6"/>
      <c r="SQD63" s="1"/>
      <c r="SQJ63" s="2"/>
      <c r="SQK63" s="6"/>
      <c r="SQL63" s="1"/>
      <c r="SQR63" s="2"/>
      <c r="SQS63" s="6"/>
      <c r="SQT63" s="1"/>
      <c r="SQZ63" s="2"/>
      <c r="SRA63" s="6"/>
      <c r="SRB63" s="1"/>
      <c r="SRH63" s="2"/>
      <c r="SRI63" s="6"/>
      <c r="SRJ63" s="1"/>
      <c r="SRP63" s="2"/>
      <c r="SRQ63" s="6"/>
      <c r="SRR63" s="1"/>
      <c r="SRX63" s="2"/>
      <c r="SRY63" s="6"/>
      <c r="SRZ63" s="1"/>
      <c r="SSF63" s="2"/>
      <c r="SSG63" s="6"/>
      <c r="SSH63" s="1"/>
      <c r="SSN63" s="2"/>
      <c r="SSO63" s="6"/>
      <c r="SSP63" s="1"/>
      <c r="SSV63" s="2"/>
      <c r="SSW63" s="6"/>
      <c r="SSX63" s="1"/>
      <c r="STD63" s="2"/>
      <c r="STE63" s="6"/>
      <c r="STF63" s="1"/>
      <c r="STL63" s="2"/>
      <c r="STM63" s="6"/>
      <c r="STN63" s="1"/>
      <c r="STT63" s="2"/>
      <c r="STU63" s="6"/>
      <c r="STV63" s="1"/>
      <c r="SUB63" s="2"/>
      <c r="SUC63" s="6"/>
      <c r="SUD63" s="1"/>
      <c r="SUJ63" s="2"/>
      <c r="SUK63" s="6"/>
      <c r="SUL63" s="1"/>
      <c r="SUR63" s="2"/>
      <c r="SUS63" s="6"/>
      <c r="SUT63" s="1"/>
      <c r="SUZ63" s="2"/>
      <c r="SVA63" s="6"/>
      <c r="SVB63" s="1"/>
      <c r="SVH63" s="2"/>
      <c r="SVI63" s="6"/>
      <c r="SVJ63" s="1"/>
      <c r="SVP63" s="2"/>
      <c r="SVQ63" s="6"/>
      <c r="SVR63" s="1"/>
      <c r="SVX63" s="2"/>
      <c r="SVY63" s="6"/>
      <c r="SVZ63" s="1"/>
      <c r="SWF63" s="2"/>
      <c r="SWG63" s="6"/>
      <c r="SWH63" s="1"/>
      <c r="SWN63" s="2"/>
      <c r="SWO63" s="6"/>
      <c r="SWP63" s="1"/>
      <c r="SWV63" s="2"/>
      <c r="SWW63" s="6"/>
      <c r="SWX63" s="1"/>
      <c r="SXD63" s="2"/>
      <c r="SXE63" s="6"/>
      <c r="SXF63" s="1"/>
      <c r="SXL63" s="2"/>
      <c r="SXM63" s="6"/>
      <c r="SXN63" s="1"/>
      <c r="SXT63" s="2"/>
      <c r="SXU63" s="6"/>
      <c r="SXV63" s="1"/>
      <c r="SYB63" s="2"/>
      <c r="SYC63" s="6"/>
      <c r="SYD63" s="1"/>
      <c r="SYJ63" s="2"/>
      <c r="SYK63" s="6"/>
      <c r="SYL63" s="1"/>
      <c r="SYR63" s="2"/>
      <c r="SYS63" s="6"/>
      <c r="SYT63" s="1"/>
      <c r="SYZ63" s="2"/>
      <c r="SZA63" s="6"/>
      <c r="SZB63" s="1"/>
      <c r="SZH63" s="2"/>
      <c r="SZI63" s="6"/>
      <c r="SZJ63" s="1"/>
      <c r="SZP63" s="2"/>
      <c r="SZQ63" s="6"/>
      <c r="SZR63" s="1"/>
      <c r="SZX63" s="2"/>
      <c r="SZY63" s="6"/>
      <c r="SZZ63" s="1"/>
      <c r="TAF63" s="2"/>
      <c r="TAG63" s="6"/>
      <c r="TAH63" s="1"/>
      <c r="TAN63" s="2"/>
      <c r="TAO63" s="6"/>
      <c r="TAP63" s="1"/>
      <c r="TAV63" s="2"/>
      <c r="TAW63" s="6"/>
      <c r="TAX63" s="1"/>
      <c r="TBD63" s="2"/>
      <c r="TBE63" s="6"/>
      <c r="TBF63" s="1"/>
      <c r="TBL63" s="2"/>
      <c r="TBM63" s="6"/>
      <c r="TBN63" s="1"/>
      <c r="TBT63" s="2"/>
      <c r="TBU63" s="6"/>
      <c r="TBV63" s="1"/>
      <c r="TCB63" s="2"/>
      <c r="TCC63" s="6"/>
      <c r="TCD63" s="1"/>
      <c r="TCJ63" s="2"/>
      <c r="TCK63" s="6"/>
      <c r="TCL63" s="1"/>
      <c r="TCR63" s="2"/>
      <c r="TCS63" s="6"/>
      <c r="TCT63" s="1"/>
      <c r="TCZ63" s="2"/>
      <c r="TDA63" s="6"/>
      <c r="TDB63" s="1"/>
      <c r="TDH63" s="2"/>
      <c r="TDI63" s="6"/>
      <c r="TDJ63" s="1"/>
      <c r="TDP63" s="2"/>
      <c r="TDQ63" s="6"/>
      <c r="TDR63" s="1"/>
      <c r="TDX63" s="2"/>
      <c r="TDY63" s="6"/>
      <c r="TDZ63" s="1"/>
      <c r="TEF63" s="2"/>
      <c r="TEG63" s="6"/>
      <c r="TEH63" s="1"/>
      <c r="TEN63" s="2"/>
      <c r="TEO63" s="6"/>
      <c r="TEP63" s="1"/>
      <c r="TEV63" s="2"/>
      <c r="TEW63" s="6"/>
      <c r="TEX63" s="1"/>
      <c r="TFD63" s="2"/>
      <c r="TFE63" s="6"/>
      <c r="TFF63" s="1"/>
      <c r="TFL63" s="2"/>
      <c r="TFM63" s="6"/>
      <c r="TFN63" s="1"/>
      <c r="TFT63" s="2"/>
      <c r="TFU63" s="6"/>
      <c r="TFV63" s="1"/>
      <c r="TGB63" s="2"/>
      <c r="TGC63" s="6"/>
      <c r="TGD63" s="1"/>
      <c r="TGJ63" s="2"/>
      <c r="TGK63" s="6"/>
      <c r="TGL63" s="1"/>
      <c r="TGR63" s="2"/>
      <c r="TGS63" s="6"/>
      <c r="TGT63" s="1"/>
      <c r="TGZ63" s="2"/>
      <c r="THA63" s="6"/>
      <c r="THB63" s="1"/>
      <c r="THH63" s="2"/>
      <c r="THI63" s="6"/>
      <c r="THJ63" s="1"/>
      <c r="THP63" s="2"/>
      <c r="THQ63" s="6"/>
      <c r="THR63" s="1"/>
      <c r="THX63" s="2"/>
      <c r="THY63" s="6"/>
      <c r="THZ63" s="1"/>
      <c r="TIF63" s="2"/>
      <c r="TIG63" s="6"/>
      <c r="TIH63" s="1"/>
      <c r="TIN63" s="2"/>
      <c r="TIO63" s="6"/>
      <c r="TIP63" s="1"/>
      <c r="TIV63" s="2"/>
      <c r="TIW63" s="6"/>
      <c r="TIX63" s="1"/>
      <c r="TJD63" s="2"/>
      <c r="TJE63" s="6"/>
      <c r="TJF63" s="1"/>
      <c r="TJL63" s="2"/>
      <c r="TJM63" s="6"/>
      <c r="TJN63" s="1"/>
      <c r="TJT63" s="2"/>
      <c r="TJU63" s="6"/>
      <c r="TJV63" s="1"/>
      <c r="TKB63" s="2"/>
      <c r="TKC63" s="6"/>
      <c r="TKD63" s="1"/>
      <c r="TKJ63" s="2"/>
      <c r="TKK63" s="6"/>
      <c r="TKL63" s="1"/>
      <c r="TKR63" s="2"/>
      <c r="TKS63" s="6"/>
      <c r="TKT63" s="1"/>
      <c r="TKZ63" s="2"/>
      <c r="TLA63" s="6"/>
      <c r="TLB63" s="1"/>
      <c r="TLH63" s="2"/>
      <c r="TLI63" s="6"/>
      <c r="TLJ63" s="1"/>
      <c r="TLP63" s="2"/>
      <c r="TLQ63" s="6"/>
      <c r="TLR63" s="1"/>
      <c r="TLX63" s="2"/>
      <c r="TLY63" s="6"/>
      <c r="TLZ63" s="1"/>
      <c r="TMF63" s="2"/>
      <c r="TMG63" s="6"/>
      <c r="TMH63" s="1"/>
      <c r="TMN63" s="2"/>
      <c r="TMO63" s="6"/>
      <c r="TMP63" s="1"/>
      <c r="TMV63" s="2"/>
      <c r="TMW63" s="6"/>
      <c r="TMX63" s="1"/>
      <c r="TND63" s="2"/>
      <c r="TNE63" s="6"/>
      <c r="TNF63" s="1"/>
      <c r="TNL63" s="2"/>
      <c r="TNM63" s="6"/>
      <c r="TNN63" s="1"/>
      <c r="TNT63" s="2"/>
      <c r="TNU63" s="6"/>
      <c r="TNV63" s="1"/>
      <c r="TOB63" s="2"/>
      <c r="TOC63" s="6"/>
      <c r="TOD63" s="1"/>
      <c r="TOJ63" s="2"/>
      <c r="TOK63" s="6"/>
      <c r="TOL63" s="1"/>
      <c r="TOR63" s="2"/>
      <c r="TOS63" s="6"/>
      <c r="TOT63" s="1"/>
      <c r="TOZ63" s="2"/>
      <c r="TPA63" s="6"/>
      <c r="TPB63" s="1"/>
      <c r="TPH63" s="2"/>
      <c r="TPI63" s="6"/>
      <c r="TPJ63" s="1"/>
      <c r="TPP63" s="2"/>
      <c r="TPQ63" s="6"/>
      <c r="TPR63" s="1"/>
      <c r="TPX63" s="2"/>
      <c r="TPY63" s="6"/>
      <c r="TPZ63" s="1"/>
      <c r="TQF63" s="2"/>
      <c r="TQG63" s="6"/>
      <c r="TQH63" s="1"/>
      <c r="TQN63" s="2"/>
      <c r="TQO63" s="6"/>
      <c r="TQP63" s="1"/>
      <c r="TQV63" s="2"/>
      <c r="TQW63" s="6"/>
      <c r="TQX63" s="1"/>
      <c r="TRD63" s="2"/>
      <c r="TRE63" s="6"/>
      <c r="TRF63" s="1"/>
      <c r="TRL63" s="2"/>
      <c r="TRM63" s="6"/>
      <c r="TRN63" s="1"/>
      <c r="TRT63" s="2"/>
      <c r="TRU63" s="6"/>
      <c r="TRV63" s="1"/>
      <c r="TSB63" s="2"/>
      <c r="TSC63" s="6"/>
      <c r="TSD63" s="1"/>
      <c r="TSJ63" s="2"/>
      <c r="TSK63" s="6"/>
      <c r="TSL63" s="1"/>
      <c r="TSR63" s="2"/>
      <c r="TSS63" s="6"/>
      <c r="TST63" s="1"/>
      <c r="TSZ63" s="2"/>
      <c r="TTA63" s="6"/>
      <c r="TTB63" s="1"/>
      <c r="TTH63" s="2"/>
      <c r="TTI63" s="6"/>
      <c r="TTJ63" s="1"/>
      <c r="TTP63" s="2"/>
      <c r="TTQ63" s="6"/>
      <c r="TTR63" s="1"/>
      <c r="TTX63" s="2"/>
      <c r="TTY63" s="6"/>
      <c r="TTZ63" s="1"/>
      <c r="TUF63" s="2"/>
      <c r="TUG63" s="6"/>
      <c r="TUH63" s="1"/>
      <c r="TUN63" s="2"/>
      <c r="TUO63" s="6"/>
      <c r="TUP63" s="1"/>
      <c r="TUV63" s="2"/>
      <c r="TUW63" s="6"/>
      <c r="TUX63" s="1"/>
      <c r="TVD63" s="2"/>
      <c r="TVE63" s="6"/>
      <c r="TVF63" s="1"/>
      <c r="TVL63" s="2"/>
      <c r="TVM63" s="6"/>
      <c r="TVN63" s="1"/>
      <c r="TVT63" s="2"/>
      <c r="TVU63" s="6"/>
      <c r="TVV63" s="1"/>
      <c r="TWB63" s="2"/>
      <c r="TWC63" s="6"/>
      <c r="TWD63" s="1"/>
      <c r="TWJ63" s="2"/>
      <c r="TWK63" s="6"/>
      <c r="TWL63" s="1"/>
      <c r="TWR63" s="2"/>
      <c r="TWS63" s="6"/>
      <c r="TWT63" s="1"/>
      <c r="TWZ63" s="2"/>
      <c r="TXA63" s="6"/>
      <c r="TXB63" s="1"/>
      <c r="TXH63" s="2"/>
      <c r="TXI63" s="6"/>
      <c r="TXJ63" s="1"/>
      <c r="TXP63" s="2"/>
      <c r="TXQ63" s="6"/>
      <c r="TXR63" s="1"/>
      <c r="TXX63" s="2"/>
      <c r="TXY63" s="6"/>
      <c r="TXZ63" s="1"/>
      <c r="TYF63" s="2"/>
      <c r="TYG63" s="6"/>
      <c r="TYH63" s="1"/>
      <c r="TYN63" s="2"/>
      <c r="TYO63" s="6"/>
      <c r="TYP63" s="1"/>
      <c r="TYV63" s="2"/>
      <c r="TYW63" s="6"/>
      <c r="TYX63" s="1"/>
      <c r="TZD63" s="2"/>
      <c r="TZE63" s="6"/>
      <c r="TZF63" s="1"/>
      <c r="TZL63" s="2"/>
      <c r="TZM63" s="6"/>
      <c r="TZN63" s="1"/>
      <c r="TZT63" s="2"/>
      <c r="TZU63" s="6"/>
      <c r="TZV63" s="1"/>
      <c r="UAB63" s="2"/>
      <c r="UAC63" s="6"/>
      <c r="UAD63" s="1"/>
      <c r="UAJ63" s="2"/>
      <c r="UAK63" s="6"/>
      <c r="UAL63" s="1"/>
      <c r="UAR63" s="2"/>
      <c r="UAS63" s="6"/>
      <c r="UAT63" s="1"/>
      <c r="UAZ63" s="2"/>
      <c r="UBA63" s="6"/>
      <c r="UBB63" s="1"/>
      <c r="UBH63" s="2"/>
      <c r="UBI63" s="6"/>
      <c r="UBJ63" s="1"/>
      <c r="UBP63" s="2"/>
      <c r="UBQ63" s="6"/>
      <c r="UBR63" s="1"/>
      <c r="UBX63" s="2"/>
      <c r="UBY63" s="6"/>
      <c r="UBZ63" s="1"/>
      <c r="UCF63" s="2"/>
      <c r="UCG63" s="6"/>
      <c r="UCH63" s="1"/>
      <c r="UCN63" s="2"/>
      <c r="UCO63" s="6"/>
      <c r="UCP63" s="1"/>
      <c r="UCV63" s="2"/>
      <c r="UCW63" s="6"/>
      <c r="UCX63" s="1"/>
      <c r="UDD63" s="2"/>
      <c r="UDE63" s="6"/>
      <c r="UDF63" s="1"/>
      <c r="UDL63" s="2"/>
      <c r="UDM63" s="6"/>
      <c r="UDN63" s="1"/>
      <c r="UDT63" s="2"/>
      <c r="UDU63" s="6"/>
      <c r="UDV63" s="1"/>
      <c r="UEB63" s="2"/>
      <c r="UEC63" s="6"/>
      <c r="UED63" s="1"/>
      <c r="UEJ63" s="2"/>
      <c r="UEK63" s="6"/>
      <c r="UEL63" s="1"/>
      <c r="UER63" s="2"/>
      <c r="UES63" s="6"/>
      <c r="UET63" s="1"/>
      <c r="UEZ63" s="2"/>
      <c r="UFA63" s="6"/>
      <c r="UFB63" s="1"/>
      <c r="UFH63" s="2"/>
      <c r="UFI63" s="6"/>
      <c r="UFJ63" s="1"/>
      <c r="UFP63" s="2"/>
      <c r="UFQ63" s="6"/>
      <c r="UFR63" s="1"/>
      <c r="UFX63" s="2"/>
      <c r="UFY63" s="6"/>
      <c r="UFZ63" s="1"/>
      <c r="UGF63" s="2"/>
      <c r="UGG63" s="6"/>
      <c r="UGH63" s="1"/>
      <c r="UGN63" s="2"/>
      <c r="UGO63" s="6"/>
      <c r="UGP63" s="1"/>
      <c r="UGV63" s="2"/>
      <c r="UGW63" s="6"/>
      <c r="UGX63" s="1"/>
      <c r="UHD63" s="2"/>
      <c r="UHE63" s="6"/>
      <c r="UHF63" s="1"/>
      <c r="UHL63" s="2"/>
      <c r="UHM63" s="6"/>
      <c r="UHN63" s="1"/>
      <c r="UHT63" s="2"/>
      <c r="UHU63" s="6"/>
      <c r="UHV63" s="1"/>
      <c r="UIB63" s="2"/>
      <c r="UIC63" s="6"/>
      <c r="UID63" s="1"/>
      <c r="UIJ63" s="2"/>
      <c r="UIK63" s="6"/>
      <c r="UIL63" s="1"/>
      <c r="UIR63" s="2"/>
      <c r="UIS63" s="6"/>
      <c r="UIT63" s="1"/>
      <c r="UIZ63" s="2"/>
      <c r="UJA63" s="6"/>
      <c r="UJB63" s="1"/>
      <c r="UJH63" s="2"/>
      <c r="UJI63" s="6"/>
      <c r="UJJ63" s="1"/>
      <c r="UJP63" s="2"/>
      <c r="UJQ63" s="6"/>
      <c r="UJR63" s="1"/>
      <c r="UJX63" s="2"/>
      <c r="UJY63" s="6"/>
      <c r="UJZ63" s="1"/>
      <c r="UKF63" s="2"/>
      <c r="UKG63" s="6"/>
      <c r="UKH63" s="1"/>
      <c r="UKN63" s="2"/>
      <c r="UKO63" s="6"/>
      <c r="UKP63" s="1"/>
      <c r="UKV63" s="2"/>
      <c r="UKW63" s="6"/>
      <c r="UKX63" s="1"/>
      <c r="ULD63" s="2"/>
      <c r="ULE63" s="6"/>
      <c r="ULF63" s="1"/>
      <c r="ULL63" s="2"/>
      <c r="ULM63" s="6"/>
      <c r="ULN63" s="1"/>
      <c r="ULT63" s="2"/>
      <c r="ULU63" s="6"/>
      <c r="ULV63" s="1"/>
      <c r="UMB63" s="2"/>
      <c r="UMC63" s="6"/>
      <c r="UMD63" s="1"/>
      <c r="UMJ63" s="2"/>
      <c r="UMK63" s="6"/>
      <c r="UML63" s="1"/>
      <c r="UMR63" s="2"/>
      <c r="UMS63" s="6"/>
      <c r="UMT63" s="1"/>
      <c r="UMZ63" s="2"/>
      <c r="UNA63" s="6"/>
      <c r="UNB63" s="1"/>
      <c r="UNH63" s="2"/>
      <c r="UNI63" s="6"/>
      <c r="UNJ63" s="1"/>
      <c r="UNP63" s="2"/>
      <c r="UNQ63" s="6"/>
      <c r="UNR63" s="1"/>
      <c r="UNX63" s="2"/>
      <c r="UNY63" s="6"/>
      <c r="UNZ63" s="1"/>
      <c r="UOF63" s="2"/>
      <c r="UOG63" s="6"/>
      <c r="UOH63" s="1"/>
      <c r="UON63" s="2"/>
      <c r="UOO63" s="6"/>
      <c r="UOP63" s="1"/>
      <c r="UOV63" s="2"/>
      <c r="UOW63" s="6"/>
      <c r="UOX63" s="1"/>
      <c r="UPD63" s="2"/>
      <c r="UPE63" s="6"/>
      <c r="UPF63" s="1"/>
      <c r="UPL63" s="2"/>
      <c r="UPM63" s="6"/>
      <c r="UPN63" s="1"/>
      <c r="UPT63" s="2"/>
      <c r="UPU63" s="6"/>
      <c r="UPV63" s="1"/>
      <c r="UQB63" s="2"/>
      <c r="UQC63" s="6"/>
      <c r="UQD63" s="1"/>
      <c r="UQJ63" s="2"/>
      <c r="UQK63" s="6"/>
      <c r="UQL63" s="1"/>
      <c r="UQR63" s="2"/>
      <c r="UQS63" s="6"/>
      <c r="UQT63" s="1"/>
      <c r="UQZ63" s="2"/>
      <c r="URA63" s="6"/>
      <c r="URB63" s="1"/>
      <c r="URH63" s="2"/>
      <c r="URI63" s="6"/>
      <c r="URJ63" s="1"/>
      <c r="URP63" s="2"/>
      <c r="URQ63" s="6"/>
      <c r="URR63" s="1"/>
      <c r="URX63" s="2"/>
      <c r="URY63" s="6"/>
      <c r="URZ63" s="1"/>
      <c r="USF63" s="2"/>
      <c r="USG63" s="6"/>
      <c r="USH63" s="1"/>
      <c r="USN63" s="2"/>
      <c r="USO63" s="6"/>
      <c r="USP63" s="1"/>
      <c r="USV63" s="2"/>
      <c r="USW63" s="6"/>
      <c r="USX63" s="1"/>
      <c r="UTD63" s="2"/>
      <c r="UTE63" s="6"/>
      <c r="UTF63" s="1"/>
      <c r="UTL63" s="2"/>
      <c r="UTM63" s="6"/>
      <c r="UTN63" s="1"/>
      <c r="UTT63" s="2"/>
      <c r="UTU63" s="6"/>
      <c r="UTV63" s="1"/>
      <c r="UUB63" s="2"/>
      <c r="UUC63" s="6"/>
      <c r="UUD63" s="1"/>
      <c r="UUJ63" s="2"/>
      <c r="UUK63" s="6"/>
      <c r="UUL63" s="1"/>
      <c r="UUR63" s="2"/>
      <c r="UUS63" s="6"/>
      <c r="UUT63" s="1"/>
      <c r="UUZ63" s="2"/>
      <c r="UVA63" s="6"/>
      <c r="UVB63" s="1"/>
      <c r="UVH63" s="2"/>
      <c r="UVI63" s="6"/>
      <c r="UVJ63" s="1"/>
      <c r="UVP63" s="2"/>
      <c r="UVQ63" s="6"/>
      <c r="UVR63" s="1"/>
      <c r="UVX63" s="2"/>
      <c r="UVY63" s="6"/>
      <c r="UVZ63" s="1"/>
      <c r="UWF63" s="2"/>
      <c r="UWG63" s="6"/>
      <c r="UWH63" s="1"/>
      <c r="UWN63" s="2"/>
      <c r="UWO63" s="6"/>
      <c r="UWP63" s="1"/>
      <c r="UWV63" s="2"/>
      <c r="UWW63" s="6"/>
      <c r="UWX63" s="1"/>
      <c r="UXD63" s="2"/>
      <c r="UXE63" s="6"/>
      <c r="UXF63" s="1"/>
      <c r="UXL63" s="2"/>
      <c r="UXM63" s="6"/>
      <c r="UXN63" s="1"/>
      <c r="UXT63" s="2"/>
      <c r="UXU63" s="6"/>
      <c r="UXV63" s="1"/>
      <c r="UYB63" s="2"/>
      <c r="UYC63" s="6"/>
      <c r="UYD63" s="1"/>
      <c r="UYJ63" s="2"/>
      <c r="UYK63" s="6"/>
      <c r="UYL63" s="1"/>
      <c r="UYR63" s="2"/>
      <c r="UYS63" s="6"/>
      <c r="UYT63" s="1"/>
      <c r="UYZ63" s="2"/>
      <c r="UZA63" s="6"/>
      <c r="UZB63" s="1"/>
      <c r="UZH63" s="2"/>
      <c r="UZI63" s="6"/>
      <c r="UZJ63" s="1"/>
      <c r="UZP63" s="2"/>
      <c r="UZQ63" s="6"/>
      <c r="UZR63" s="1"/>
      <c r="UZX63" s="2"/>
      <c r="UZY63" s="6"/>
      <c r="UZZ63" s="1"/>
      <c r="VAF63" s="2"/>
      <c r="VAG63" s="6"/>
      <c r="VAH63" s="1"/>
      <c r="VAN63" s="2"/>
      <c r="VAO63" s="6"/>
      <c r="VAP63" s="1"/>
      <c r="VAV63" s="2"/>
      <c r="VAW63" s="6"/>
      <c r="VAX63" s="1"/>
      <c r="VBD63" s="2"/>
      <c r="VBE63" s="6"/>
      <c r="VBF63" s="1"/>
      <c r="VBL63" s="2"/>
      <c r="VBM63" s="6"/>
      <c r="VBN63" s="1"/>
      <c r="VBT63" s="2"/>
      <c r="VBU63" s="6"/>
      <c r="VBV63" s="1"/>
      <c r="VCB63" s="2"/>
      <c r="VCC63" s="6"/>
      <c r="VCD63" s="1"/>
      <c r="VCJ63" s="2"/>
      <c r="VCK63" s="6"/>
      <c r="VCL63" s="1"/>
      <c r="VCR63" s="2"/>
      <c r="VCS63" s="6"/>
      <c r="VCT63" s="1"/>
      <c r="VCZ63" s="2"/>
      <c r="VDA63" s="6"/>
      <c r="VDB63" s="1"/>
      <c r="VDH63" s="2"/>
      <c r="VDI63" s="6"/>
      <c r="VDJ63" s="1"/>
      <c r="VDP63" s="2"/>
      <c r="VDQ63" s="6"/>
      <c r="VDR63" s="1"/>
      <c r="VDX63" s="2"/>
      <c r="VDY63" s="6"/>
      <c r="VDZ63" s="1"/>
      <c r="VEF63" s="2"/>
      <c r="VEG63" s="6"/>
      <c r="VEH63" s="1"/>
      <c r="VEN63" s="2"/>
      <c r="VEO63" s="6"/>
      <c r="VEP63" s="1"/>
      <c r="VEV63" s="2"/>
      <c r="VEW63" s="6"/>
      <c r="VEX63" s="1"/>
      <c r="VFD63" s="2"/>
      <c r="VFE63" s="6"/>
      <c r="VFF63" s="1"/>
      <c r="VFL63" s="2"/>
      <c r="VFM63" s="6"/>
      <c r="VFN63" s="1"/>
      <c r="VFT63" s="2"/>
      <c r="VFU63" s="6"/>
      <c r="VFV63" s="1"/>
      <c r="VGB63" s="2"/>
      <c r="VGC63" s="6"/>
      <c r="VGD63" s="1"/>
      <c r="VGJ63" s="2"/>
      <c r="VGK63" s="6"/>
      <c r="VGL63" s="1"/>
      <c r="VGR63" s="2"/>
      <c r="VGS63" s="6"/>
      <c r="VGT63" s="1"/>
      <c r="VGZ63" s="2"/>
      <c r="VHA63" s="6"/>
      <c r="VHB63" s="1"/>
      <c r="VHH63" s="2"/>
      <c r="VHI63" s="6"/>
      <c r="VHJ63" s="1"/>
      <c r="VHP63" s="2"/>
      <c r="VHQ63" s="6"/>
      <c r="VHR63" s="1"/>
      <c r="VHX63" s="2"/>
      <c r="VHY63" s="6"/>
      <c r="VHZ63" s="1"/>
      <c r="VIF63" s="2"/>
      <c r="VIG63" s="6"/>
      <c r="VIH63" s="1"/>
      <c r="VIN63" s="2"/>
      <c r="VIO63" s="6"/>
      <c r="VIP63" s="1"/>
      <c r="VIV63" s="2"/>
      <c r="VIW63" s="6"/>
      <c r="VIX63" s="1"/>
      <c r="VJD63" s="2"/>
      <c r="VJE63" s="6"/>
      <c r="VJF63" s="1"/>
      <c r="VJL63" s="2"/>
      <c r="VJM63" s="6"/>
      <c r="VJN63" s="1"/>
      <c r="VJT63" s="2"/>
      <c r="VJU63" s="6"/>
      <c r="VJV63" s="1"/>
      <c r="VKB63" s="2"/>
      <c r="VKC63" s="6"/>
      <c r="VKD63" s="1"/>
      <c r="VKJ63" s="2"/>
      <c r="VKK63" s="6"/>
      <c r="VKL63" s="1"/>
      <c r="VKR63" s="2"/>
      <c r="VKS63" s="6"/>
      <c r="VKT63" s="1"/>
      <c r="VKZ63" s="2"/>
      <c r="VLA63" s="6"/>
      <c r="VLB63" s="1"/>
      <c r="VLH63" s="2"/>
      <c r="VLI63" s="6"/>
      <c r="VLJ63" s="1"/>
      <c r="VLP63" s="2"/>
      <c r="VLQ63" s="6"/>
      <c r="VLR63" s="1"/>
      <c r="VLX63" s="2"/>
      <c r="VLY63" s="6"/>
      <c r="VLZ63" s="1"/>
      <c r="VMF63" s="2"/>
      <c r="VMG63" s="6"/>
      <c r="VMH63" s="1"/>
      <c r="VMN63" s="2"/>
      <c r="VMO63" s="6"/>
      <c r="VMP63" s="1"/>
      <c r="VMV63" s="2"/>
      <c r="VMW63" s="6"/>
      <c r="VMX63" s="1"/>
      <c r="VND63" s="2"/>
      <c r="VNE63" s="6"/>
      <c r="VNF63" s="1"/>
      <c r="VNL63" s="2"/>
      <c r="VNM63" s="6"/>
      <c r="VNN63" s="1"/>
      <c r="VNT63" s="2"/>
      <c r="VNU63" s="6"/>
      <c r="VNV63" s="1"/>
      <c r="VOB63" s="2"/>
      <c r="VOC63" s="6"/>
      <c r="VOD63" s="1"/>
      <c r="VOJ63" s="2"/>
      <c r="VOK63" s="6"/>
      <c r="VOL63" s="1"/>
      <c r="VOR63" s="2"/>
      <c r="VOS63" s="6"/>
      <c r="VOT63" s="1"/>
      <c r="VOZ63" s="2"/>
      <c r="VPA63" s="6"/>
      <c r="VPB63" s="1"/>
      <c r="VPH63" s="2"/>
      <c r="VPI63" s="6"/>
      <c r="VPJ63" s="1"/>
      <c r="VPP63" s="2"/>
      <c r="VPQ63" s="6"/>
      <c r="VPR63" s="1"/>
      <c r="VPX63" s="2"/>
      <c r="VPY63" s="6"/>
      <c r="VPZ63" s="1"/>
      <c r="VQF63" s="2"/>
      <c r="VQG63" s="6"/>
      <c r="VQH63" s="1"/>
      <c r="VQN63" s="2"/>
      <c r="VQO63" s="6"/>
      <c r="VQP63" s="1"/>
      <c r="VQV63" s="2"/>
      <c r="VQW63" s="6"/>
      <c r="VQX63" s="1"/>
      <c r="VRD63" s="2"/>
      <c r="VRE63" s="6"/>
      <c r="VRF63" s="1"/>
      <c r="VRL63" s="2"/>
      <c r="VRM63" s="6"/>
      <c r="VRN63" s="1"/>
      <c r="VRT63" s="2"/>
      <c r="VRU63" s="6"/>
      <c r="VRV63" s="1"/>
      <c r="VSB63" s="2"/>
      <c r="VSC63" s="6"/>
      <c r="VSD63" s="1"/>
      <c r="VSJ63" s="2"/>
      <c r="VSK63" s="6"/>
      <c r="VSL63" s="1"/>
      <c r="VSR63" s="2"/>
      <c r="VSS63" s="6"/>
      <c r="VST63" s="1"/>
      <c r="VSZ63" s="2"/>
      <c r="VTA63" s="6"/>
      <c r="VTB63" s="1"/>
      <c r="VTH63" s="2"/>
      <c r="VTI63" s="6"/>
      <c r="VTJ63" s="1"/>
      <c r="VTP63" s="2"/>
      <c r="VTQ63" s="6"/>
      <c r="VTR63" s="1"/>
      <c r="VTX63" s="2"/>
      <c r="VTY63" s="6"/>
      <c r="VTZ63" s="1"/>
      <c r="VUF63" s="2"/>
      <c r="VUG63" s="6"/>
      <c r="VUH63" s="1"/>
      <c r="VUN63" s="2"/>
      <c r="VUO63" s="6"/>
      <c r="VUP63" s="1"/>
      <c r="VUV63" s="2"/>
      <c r="VUW63" s="6"/>
      <c r="VUX63" s="1"/>
      <c r="VVD63" s="2"/>
      <c r="VVE63" s="6"/>
      <c r="VVF63" s="1"/>
      <c r="VVL63" s="2"/>
      <c r="VVM63" s="6"/>
      <c r="VVN63" s="1"/>
      <c r="VVT63" s="2"/>
      <c r="VVU63" s="6"/>
      <c r="VVV63" s="1"/>
      <c r="VWB63" s="2"/>
      <c r="VWC63" s="6"/>
      <c r="VWD63" s="1"/>
      <c r="VWJ63" s="2"/>
      <c r="VWK63" s="6"/>
      <c r="VWL63" s="1"/>
      <c r="VWR63" s="2"/>
      <c r="VWS63" s="6"/>
      <c r="VWT63" s="1"/>
      <c r="VWZ63" s="2"/>
      <c r="VXA63" s="6"/>
      <c r="VXB63" s="1"/>
      <c r="VXH63" s="2"/>
      <c r="VXI63" s="6"/>
      <c r="VXJ63" s="1"/>
      <c r="VXP63" s="2"/>
      <c r="VXQ63" s="6"/>
      <c r="VXR63" s="1"/>
      <c r="VXX63" s="2"/>
      <c r="VXY63" s="6"/>
      <c r="VXZ63" s="1"/>
      <c r="VYF63" s="2"/>
      <c r="VYG63" s="6"/>
      <c r="VYH63" s="1"/>
      <c r="VYN63" s="2"/>
      <c r="VYO63" s="6"/>
      <c r="VYP63" s="1"/>
      <c r="VYV63" s="2"/>
      <c r="VYW63" s="6"/>
      <c r="VYX63" s="1"/>
      <c r="VZD63" s="2"/>
      <c r="VZE63" s="6"/>
      <c r="VZF63" s="1"/>
      <c r="VZL63" s="2"/>
      <c r="VZM63" s="6"/>
      <c r="VZN63" s="1"/>
      <c r="VZT63" s="2"/>
      <c r="VZU63" s="6"/>
      <c r="VZV63" s="1"/>
      <c r="WAB63" s="2"/>
      <c r="WAC63" s="6"/>
      <c r="WAD63" s="1"/>
      <c r="WAJ63" s="2"/>
      <c r="WAK63" s="6"/>
      <c r="WAL63" s="1"/>
      <c r="WAR63" s="2"/>
      <c r="WAS63" s="6"/>
      <c r="WAT63" s="1"/>
      <c r="WAZ63" s="2"/>
      <c r="WBA63" s="6"/>
      <c r="WBB63" s="1"/>
      <c r="WBH63" s="2"/>
      <c r="WBI63" s="6"/>
      <c r="WBJ63" s="1"/>
      <c r="WBP63" s="2"/>
      <c r="WBQ63" s="6"/>
      <c r="WBR63" s="1"/>
      <c r="WBX63" s="2"/>
      <c r="WBY63" s="6"/>
      <c r="WBZ63" s="1"/>
      <c r="WCF63" s="2"/>
      <c r="WCG63" s="6"/>
      <c r="WCH63" s="1"/>
      <c r="WCN63" s="2"/>
      <c r="WCO63" s="6"/>
      <c r="WCP63" s="1"/>
      <c r="WCV63" s="2"/>
      <c r="WCW63" s="6"/>
      <c r="WCX63" s="1"/>
      <c r="WDD63" s="2"/>
      <c r="WDE63" s="6"/>
      <c r="WDF63" s="1"/>
      <c r="WDL63" s="2"/>
      <c r="WDM63" s="6"/>
      <c r="WDN63" s="1"/>
      <c r="WDT63" s="2"/>
      <c r="WDU63" s="6"/>
      <c r="WDV63" s="1"/>
      <c r="WEB63" s="2"/>
      <c r="WEC63" s="6"/>
      <c r="WED63" s="1"/>
      <c r="WEJ63" s="2"/>
      <c r="WEK63" s="6"/>
      <c r="WEL63" s="1"/>
      <c r="WER63" s="2"/>
      <c r="WES63" s="6"/>
      <c r="WET63" s="1"/>
      <c r="WEZ63" s="2"/>
      <c r="WFA63" s="6"/>
      <c r="WFB63" s="1"/>
      <c r="WFH63" s="2"/>
      <c r="WFI63" s="6"/>
      <c r="WFJ63" s="1"/>
      <c r="WFP63" s="2"/>
      <c r="WFQ63" s="6"/>
      <c r="WFR63" s="1"/>
      <c r="WFX63" s="2"/>
      <c r="WFY63" s="6"/>
      <c r="WFZ63" s="1"/>
      <c r="WGF63" s="2"/>
      <c r="WGG63" s="6"/>
      <c r="WGH63" s="1"/>
      <c r="WGN63" s="2"/>
      <c r="WGO63" s="6"/>
      <c r="WGP63" s="1"/>
      <c r="WGV63" s="2"/>
      <c r="WGW63" s="6"/>
      <c r="WGX63" s="1"/>
      <c r="WHD63" s="2"/>
      <c r="WHE63" s="6"/>
      <c r="WHF63" s="1"/>
      <c r="WHL63" s="2"/>
      <c r="WHM63" s="6"/>
      <c r="WHN63" s="1"/>
      <c r="WHT63" s="2"/>
      <c r="WHU63" s="6"/>
      <c r="WHV63" s="1"/>
      <c r="WIB63" s="2"/>
      <c r="WIC63" s="6"/>
      <c r="WID63" s="1"/>
      <c r="WIJ63" s="2"/>
      <c r="WIK63" s="6"/>
      <c r="WIL63" s="1"/>
      <c r="WIR63" s="2"/>
      <c r="WIS63" s="6"/>
      <c r="WIT63" s="1"/>
      <c r="WIZ63" s="2"/>
      <c r="WJA63" s="6"/>
      <c r="WJB63" s="1"/>
      <c r="WJH63" s="2"/>
      <c r="WJI63" s="6"/>
      <c r="WJJ63" s="1"/>
      <c r="WJP63" s="2"/>
      <c r="WJQ63" s="6"/>
      <c r="WJR63" s="1"/>
      <c r="WJX63" s="2"/>
      <c r="WJY63" s="6"/>
      <c r="WJZ63" s="1"/>
      <c r="WKF63" s="2"/>
      <c r="WKG63" s="6"/>
      <c r="WKH63" s="1"/>
      <c r="WKN63" s="2"/>
      <c r="WKO63" s="6"/>
      <c r="WKP63" s="1"/>
      <c r="WKV63" s="2"/>
      <c r="WKW63" s="6"/>
      <c r="WKX63" s="1"/>
      <c r="WLD63" s="2"/>
      <c r="WLE63" s="6"/>
      <c r="WLF63" s="1"/>
      <c r="WLL63" s="2"/>
      <c r="WLM63" s="6"/>
      <c r="WLN63" s="1"/>
      <c r="WLT63" s="2"/>
      <c r="WLU63" s="6"/>
      <c r="WLV63" s="1"/>
      <c r="WMB63" s="2"/>
      <c r="WMC63" s="6"/>
      <c r="WMD63" s="1"/>
      <c r="WMJ63" s="2"/>
      <c r="WMK63" s="6"/>
      <c r="WML63" s="1"/>
      <c r="WMR63" s="2"/>
      <c r="WMS63" s="6"/>
      <c r="WMT63" s="1"/>
      <c r="WMZ63" s="2"/>
      <c r="WNA63" s="6"/>
      <c r="WNB63" s="1"/>
      <c r="WNH63" s="2"/>
      <c r="WNI63" s="6"/>
      <c r="WNJ63" s="1"/>
      <c r="WNP63" s="2"/>
      <c r="WNQ63" s="6"/>
      <c r="WNR63" s="1"/>
      <c r="WNX63" s="2"/>
      <c r="WNY63" s="6"/>
      <c r="WNZ63" s="1"/>
      <c r="WOF63" s="2"/>
      <c r="WOG63" s="6"/>
      <c r="WOH63" s="1"/>
      <c r="WON63" s="2"/>
      <c r="WOO63" s="6"/>
      <c r="WOP63" s="1"/>
      <c r="WOV63" s="2"/>
      <c r="WOW63" s="6"/>
      <c r="WOX63" s="1"/>
      <c r="WPD63" s="2"/>
      <c r="WPE63" s="6"/>
      <c r="WPF63" s="1"/>
      <c r="WPL63" s="2"/>
      <c r="WPM63" s="6"/>
      <c r="WPN63" s="1"/>
      <c r="WPT63" s="2"/>
      <c r="WPU63" s="6"/>
      <c r="WPV63" s="1"/>
      <c r="WQB63" s="2"/>
      <c r="WQC63" s="6"/>
      <c r="WQD63" s="1"/>
      <c r="WQJ63" s="2"/>
      <c r="WQK63" s="6"/>
      <c r="WQL63" s="1"/>
      <c r="WQR63" s="2"/>
      <c r="WQS63" s="6"/>
      <c r="WQT63" s="1"/>
      <c r="WQZ63" s="2"/>
      <c r="WRA63" s="6"/>
      <c r="WRB63" s="1"/>
      <c r="WRH63" s="2"/>
      <c r="WRI63" s="6"/>
      <c r="WRJ63" s="1"/>
      <c r="WRP63" s="2"/>
      <c r="WRQ63" s="6"/>
      <c r="WRR63" s="1"/>
      <c r="WRX63" s="2"/>
      <c r="WRY63" s="6"/>
      <c r="WRZ63" s="1"/>
      <c r="WSF63" s="2"/>
      <c r="WSG63" s="6"/>
      <c r="WSH63" s="1"/>
      <c r="WSN63" s="2"/>
      <c r="WSO63" s="6"/>
      <c r="WSP63" s="1"/>
      <c r="WSV63" s="2"/>
      <c r="WSW63" s="6"/>
      <c r="WSX63" s="1"/>
      <c r="WTD63" s="2"/>
      <c r="WTE63" s="6"/>
      <c r="WTF63" s="1"/>
      <c r="WTL63" s="2"/>
      <c r="WTM63" s="6"/>
      <c r="WTN63" s="1"/>
      <c r="WTT63" s="2"/>
      <c r="WTU63" s="6"/>
      <c r="WTV63" s="1"/>
      <c r="WUB63" s="2"/>
      <c r="WUC63" s="6"/>
      <c r="WUD63" s="1"/>
      <c r="WUJ63" s="2"/>
      <c r="WUK63" s="6"/>
      <c r="WUL63" s="1"/>
      <c r="WUR63" s="2"/>
      <c r="WUS63" s="6"/>
      <c r="WUT63" s="1"/>
      <c r="WUZ63" s="2"/>
      <c r="WVA63" s="6"/>
      <c r="WVB63" s="1"/>
      <c r="WVH63" s="2"/>
      <c r="WVI63" s="6"/>
      <c r="WVJ63" s="1"/>
      <c r="WVP63" s="2"/>
      <c r="WVQ63" s="6"/>
      <c r="WVR63" s="1"/>
      <c r="WVX63" s="2"/>
      <c r="WVY63" s="6"/>
      <c r="WVZ63" s="1"/>
      <c r="WWF63" s="2"/>
      <c r="WWG63" s="6"/>
      <c r="WWH63" s="1"/>
      <c r="WWN63" s="2"/>
      <c r="WWO63" s="6"/>
      <c r="WWP63" s="1"/>
      <c r="WWV63" s="2"/>
      <c r="WWW63" s="6"/>
      <c r="WWX63" s="1"/>
      <c r="WXD63" s="2"/>
      <c r="WXE63" s="6"/>
      <c r="WXF63" s="1"/>
      <c r="WXL63" s="2"/>
      <c r="WXM63" s="6"/>
      <c r="WXN63" s="1"/>
      <c r="WXT63" s="2"/>
      <c r="WXU63" s="6"/>
      <c r="WXV63" s="1"/>
      <c r="WYB63" s="2"/>
      <c r="WYC63" s="6"/>
      <c r="WYD63" s="1"/>
      <c r="WYJ63" s="2"/>
      <c r="WYK63" s="6"/>
      <c r="WYL63" s="1"/>
      <c r="WYR63" s="2"/>
      <c r="WYS63" s="6"/>
      <c r="WYT63" s="1"/>
      <c r="WYZ63" s="2"/>
      <c r="WZA63" s="6"/>
      <c r="WZB63" s="1"/>
      <c r="WZH63" s="2"/>
      <c r="WZI63" s="6"/>
      <c r="WZJ63" s="1"/>
      <c r="WZP63" s="2"/>
      <c r="WZQ63" s="6"/>
      <c r="WZR63" s="1"/>
      <c r="WZX63" s="2"/>
      <c r="WZY63" s="6"/>
      <c r="WZZ63" s="1"/>
      <c r="XAF63" s="2"/>
      <c r="XAG63" s="6"/>
      <c r="XAH63" s="1"/>
      <c r="XAN63" s="2"/>
      <c r="XAO63" s="6"/>
      <c r="XAP63" s="1"/>
      <c r="XAV63" s="2"/>
      <c r="XAW63" s="6"/>
      <c r="XAX63" s="1"/>
      <c r="XBD63" s="2"/>
      <c r="XBE63" s="6"/>
      <c r="XBF63" s="1"/>
      <c r="XBL63" s="2"/>
      <c r="XBM63" s="6"/>
      <c r="XBN63" s="1"/>
      <c r="XBT63" s="2"/>
      <c r="XBU63" s="6"/>
      <c r="XBV63" s="1"/>
      <c r="XCB63" s="2"/>
      <c r="XCC63" s="6"/>
      <c r="XCD63" s="1"/>
      <c r="XCJ63" s="2"/>
      <c r="XCK63" s="6"/>
      <c r="XCL63" s="1"/>
      <c r="XCR63" s="2"/>
      <c r="XCS63" s="6"/>
      <c r="XCT63" s="1"/>
      <c r="XCZ63" s="2"/>
      <c r="XDA63" s="6"/>
      <c r="XDB63" s="1"/>
      <c r="XDH63" s="2"/>
      <c r="XDI63" s="6"/>
      <c r="XDJ63" s="1"/>
      <c r="XDP63" s="2"/>
      <c r="XDQ63" s="6"/>
      <c r="XDR63" s="1"/>
      <c r="XDX63" s="2"/>
      <c r="XDY63" s="6"/>
      <c r="XDZ63" s="1"/>
      <c r="XEF63" s="2"/>
      <c r="XEG63" s="6"/>
      <c r="XEH63" s="1"/>
      <c r="XEN63" s="2"/>
      <c r="XEO63" s="6"/>
      <c r="XEP63" s="1"/>
      <c r="XEV63" s="2"/>
      <c r="XEW63" s="6"/>
      <c r="XEX63" s="1"/>
      <c r="XFD63" s="2"/>
    </row>
    <row r="64" spans="1:16384" customFormat="1" x14ac:dyDescent="0.25">
      <c r="A64" s="12"/>
    </row>
    <row r="65" spans="1:10" customFormat="1" x14ac:dyDescent="0.25">
      <c r="A65" s="10" t="s">
        <v>111</v>
      </c>
    </row>
    <row r="66" spans="1:10" customFormat="1" x14ac:dyDescent="0.25">
      <c r="A66" s="11" t="s">
        <v>186</v>
      </c>
      <c r="B66" s="1" t="s">
        <v>0</v>
      </c>
      <c r="C66" s="1" t="s">
        <v>7</v>
      </c>
      <c r="D66" s="1" t="s">
        <v>1</v>
      </c>
      <c r="E66" s="1" t="s">
        <v>2</v>
      </c>
      <c r="F66" s="1" t="s">
        <v>14</v>
      </c>
      <c r="G66" s="1" t="s">
        <v>4</v>
      </c>
      <c r="H66" s="1" t="s">
        <v>3</v>
      </c>
      <c r="I66" s="1" t="s">
        <v>38</v>
      </c>
      <c r="J66" s="1" t="s">
        <v>9</v>
      </c>
    </row>
    <row r="67" spans="1:10" customFormat="1" x14ac:dyDescent="0.25">
      <c r="A67" s="11">
        <v>48</v>
      </c>
      <c r="B67" t="s">
        <v>120</v>
      </c>
      <c r="D67" t="s">
        <v>123</v>
      </c>
      <c r="E67" t="s">
        <v>122</v>
      </c>
      <c r="F67" t="s">
        <v>65</v>
      </c>
      <c r="G67">
        <v>1</v>
      </c>
      <c r="H67" s="2">
        <v>27.6</v>
      </c>
      <c r="I67" s="17">
        <f>G67*H67</f>
        <v>27.6</v>
      </c>
      <c r="J67" t="s">
        <v>121</v>
      </c>
    </row>
    <row r="68" spans="1:10" customFormat="1" x14ac:dyDescent="0.25">
      <c r="A68" s="11">
        <v>49</v>
      </c>
      <c r="B68" t="s">
        <v>161</v>
      </c>
      <c r="C68" t="s">
        <v>159</v>
      </c>
      <c r="D68" t="s">
        <v>124</v>
      </c>
      <c r="E68" t="s">
        <v>160</v>
      </c>
      <c r="F68" t="s">
        <v>125</v>
      </c>
      <c r="G68">
        <f>1/20</f>
        <v>0.05</v>
      </c>
      <c r="H68" s="2">
        <v>191.3</v>
      </c>
      <c r="I68" s="17">
        <f>G68*H68</f>
        <v>9.5650000000000013</v>
      </c>
      <c r="J68" t="s">
        <v>178</v>
      </c>
    </row>
    <row r="69" spans="1:10" customFormat="1" x14ac:dyDescent="0.25">
      <c r="A69" s="11">
        <v>50</v>
      </c>
      <c r="B69" t="s">
        <v>182</v>
      </c>
      <c r="D69" t="s">
        <v>70</v>
      </c>
      <c r="E69" t="s">
        <v>183</v>
      </c>
      <c r="F69" t="s">
        <v>65</v>
      </c>
      <c r="G69">
        <v>4</v>
      </c>
      <c r="H69" s="2">
        <v>5.48</v>
      </c>
      <c r="I69" s="17">
        <f>G69*H69</f>
        <v>21.92</v>
      </c>
    </row>
    <row r="70" spans="1:10" customFormat="1" x14ac:dyDescent="0.25">
      <c r="A70" s="11">
        <v>51</v>
      </c>
      <c r="B70" t="s">
        <v>179</v>
      </c>
      <c r="D70" t="s">
        <v>180</v>
      </c>
      <c r="E70" t="s">
        <v>181</v>
      </c>
      <c r="F70" t="s">
        <v>65</v>
      </c>
      <c r="G70">
        <v>1</v>
      </c>
      <c r="H70" s="2">
        <v>2.4900000000000002</v>
      </c>
      <c r="I70" s="17">
        <f>G70*H70</f>
        <v>2.4900000000000002</v>
      </c>
    </row>
    <row r="71" spans="1:10" customFormat="1" x14ac:dyDescent="0.25">
      <c r="A71" s="11">
        <v>52</v>
      </c>
      <c r="B71" t="s">
        <v>114</v>
      </c>
      <c r="D71" t="s">
        <v>112</v>
      </c>
      <c r="E71" t="s">
        <v>113</v>
      </c>
      <c r="F71" t="s">
        <v>65</v>
      </c>
      <c r="G71">
        <v>1</v>
      </c>
      <c r="H71" s="3">
        <v>640</v>
      </c>
      <c r="I71" s="17">
        <f>G71*H71</f>
        <v>640</v>
      </c>
      <c r="J71" t="s">
        <v>119</v>
      </c>
    </row>
    <row r="72" spans="1:10" customFormat="1" x14ac:dyDescent="0.25">
      <c r="A72" s="11">
        <v>53</v>
      </c>
      <c r="B72" t="s">
        <v>116</v>
      </c>
      <c r="C72" t="s">
        <v>115</v>
      </c>
      <c r="D72" t="s">
        <v>83</v>
      </c>
      <c r="E72" t="s">
        <v>117</v>
      </c>
      <c r="F72" t="s">
        <v>65</v>
      </c>
      <c r="G72">
        <v>1</v>
      </c>
      <c r="H72" s="2">
        <v>180</v>
      </c>
      <c r="I72" s="17">
        <f>G72*H72</f>
        <v>180</v>
      </c>
      <c r="J72" t="s">
        <v>118</v>
      </c>
    </row>
    <row r="73" spans="1:10" customFormat="1" x14ac:dyDescent="0.25">
      <c r="A73" s="11">
        <v>54</v>
      </c>
      <c r="B73" t="s">
        <v>184</v>
      </c>
      <c r="D73" t="s">
        <v>70</v>
      </c>
      <c r="E73" t="s">
        <v>185</v>
      </c>
      <c r="F73" t="s">
        <v>65</v>
      </c>
      <c r="G73">
        <v>1</v>
      </c>
      <c r="H73" s="2">
        <v>39.99</v>
      </c>
      <c r="I73" s="17">
        <f>G73*H73</f>
        <v>39.99</v>
      </c>
    </row>
    <row r="74" spans="1:10" customFormat="1" x14ac:dyDescent="0.25">
      <c r="A74" s="12"/>
      <c r="B74" s="1" t="s">
        <v>96</v>
      </c>
      <c r="H74" s="2"/>
      <c r="I74" s="7">
        <f>SUM(I67:I73)-I71</f>
        <v>281.56500000000005</v>
      </c>
    </row>
    <row r="75" spans="1:10" customFormat="1" x14ac:dyDescent="0.25">
      <c r="A75" s="12"/>
      <c r="H75" s="2"/>
      <c r="I75" s="3"/>
    </row>
    <row r="76" spans="1:10" customFormat="1" x14ac:dyDescent="0.25">
      <c r="A76" s="10" t="s">
        <v>126</v>
      </c>
    </row>
    <row r="77" spans="1:10" customFormat="1" x14ac:dyDescent="0.25">
      <c r="A77" s="11" t="s">
        <v>186</v>
      </c>
      <c r="B77" s="1" t="s">
        <v>0</v>
      </c>
      <c r="C77" s="1" t="s">
        <v>7</v>
      </c>
      <c r="D77" s="1" t="s">
        <v>1</v>
      </c>
      <c r="E77" s="1"/>
      <c r="F77" s="1" t="s">
        <v>14</v>
      </c>
      <c r="G77" s="1"/>
      <c r="H77" s="1" t="s">
        <v>3</v>
      </c>
      <c r="I77" s="1" t="s">
        <v>38</v>
      </c>
      <c r="J77" s="1" t="s">
        <v>99</v>
      </c>
    </row>
    <row r="78" spans="1:10" customFormat="1" x14ac:dyDescent="0.25">
      <c r="A78" s="11">
        <v>56</v>
      </c>
      <c r="B78" t="s">
        <v>97</v>
      </c>
      <c r="D78" t="s">
        <v>98</v>
      </c>
      <c r="F78" t="s">
        <v>128</v>
      </c>
      <c r="H78">
        <v>371.41</v>
      </c>
      <c r="I78" s="3">
        <f>G78*H78</f>
        <v>0</v>
      </c>
      <c r="J78" t="s">
        <v>100</v>
      </c>
    </row>
    <row r="80" spans="1:10" customFormat="1" x14ac:dyDescent="0.25">
      <c r="A80" s="12"/>
      <c r="B80" s="9" t="s">
        <v>127</v>
      </c>
      <c r="C80" s="1"/>
      <c r="D80" s="1"/>
      <c r="E80" s="1"/>
      <c r="F80" s="1"/>
      <c r="G80" s="1"/>
      <c r="H80" s="1"/>
      <c r="I80" s="7">
        <f>SUM(I74,I63,I52,I15)</f>
        <v>966.46355000000028</v>
      </c>
    </row>
    <row r="81" spans="1:9" customFormat="1" x14ac:dyDescent="0.25">
      <c r="A81" s="12"/>
      <c r="I81" s="4">
        <f>I80-I72+I71</f>
        <v>1426.4635500000004</v>
      </c>
    </row>
    <row r="82" spans="1:9" customFormat="1" x14ac:dyDescent="0.25">
      <c r="A82" s="12"/>
    </row>
    <row r="83" spans="1:9" customFormat="1" x14ac:dyDescent="0.25">
      <c r="A83" s="12"/>
    </row>
  </sheetData>
  <sortState xmlns:xlrd2="http://schemas.microsoft.com/office/spreadsheetml/2017/richdata2" ref="A67:J73">
    <sortCondition ref="A66:A73"/>
  </sortState>
  <phoneticPr fontId="5" type="noConversion"/>
  <hyperlinks>
    <hyperlink ref="J27" r:id="rId1" xr:uid="{E2FE1006-F729-426C-993F-69F4EC52B4F9}"/>
    <hyperlink ref="J19" r:id="rId2" xr:uid="{B47B674D-41FA-4361-9487-6AE17B1FFBBE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 of 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Maxwell Madden</dc:creator>
  <cp:lastModifiedBy>Maxwell Madden</cp:lastModifiedBy>
  <dcterms:created xsi:type="dcterms:W3CDTF">2015-06-05T18:17:20Z</dcterms:created>
  <dcterms:modified xsi:type="dcterms:W3CDTF">2026-08-01T04:53:52Z</dcterms:modified>
</cp:coreProperties>
</file>